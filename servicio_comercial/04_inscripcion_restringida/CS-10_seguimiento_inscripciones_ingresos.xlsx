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ME" sheetId="1" state="visible" r:id="rId3"/>
    <sheet name="Tracker" sheetId="2" state="visible" r:id="rId4"/>
    <sheet name="Pipeline" sheetId="3" state="visible" r:id="rId5"/>
    <sheet name="Enrollment" sheetId="4" state="visible" r:id="rId6"/>
    <sheet name="Viability" sheetId="5" state="visible" r:id="rId7"/>
    <sheet name="Receivables" sheetId="6" state="visible" r:id="rId8"/>
    <sheet name="Exceptions" sheetId="7" state="visible" r:id="rId9"/>
    <sheet name="Lists" sheetId="8" state="hidden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<sst xmlns="http://schemas.openxmlformats.org/spreadsheetml/2006/main" count="323" uniqueCount="115">
  <si>
    <t xml:space="preserve">CS-10 — Seguimiento de inscripciones e ingresos</t>
  </si>
  <si>
    <t xml:space="preserve">Clasificación</t>
  </si>
  <si>
    <t xml:space="preserve">RESTRINGIDO — identidad, datos comerciales y pagos</t>
  </si>
  <si>
    <t xml:space="preserve">Versión</t>
  </si>
  <si>
    <t xml:space="preserve">0.3 — plantilla operativa</t>
  </si>
  <si>
    <t xml:space="preserve">Propietario</t>
  </si>
  <si>
    <t xml:space="preserve">Coordinación de ronda</t>
  </si>
  <si>
    <t xml:space="preserve">Uso</t>
  </si>
  <si>
    <t xml:space="preserve">Registrar una fila por organización/ronda. No almacenar resultados técnicos.</t>
  </si>
  <si>
    <t xml:space="preserve">Confirmación</t>
  </si>
  <si>
    <t xml:space="preserve">Solo procede con CS-09 aprobado y pago u orden aceptada.</t>
  </si>
  <si>
    <t xml:space="preserve">Capacidad</t>
  </si>
  <si>
    <t xml:space="preserve">Individual: máximo 4 analizadores por bloque. CO/SO₂ simultáneo: máximo 3 organizaciones y 6 analizadores.</t>
  </si>
  <si>
    <t xml:space="preserve">Comunicaciones</t>
  </si>
  <si>
    <t xml:space="preserve">Solo calaire_med@unal.edu.co o carpeta institucional controlada.</t>
  </si>
  <si>
    <t xml:space="preserve">Protección</t>
  </si>
  <si>
    <t xml:space="preserve">Clave inicial: CAMBIAR-CS10. Debe cambiarla la coordinación antes del uso real. La protección de hoja no sustituye el control de acceso institucional.</t>
  </si>
  <si>
    <t xml:space="preserve">Retención</t>
  </si>
  <si>
    <t xml:space="preserve">5 años, conforme al control documental aplicable.</t>
  </si>
  <si>
    <t xml:space="preserve">ID del cliente potencial/cliente</t>
  </si>
  <si>
    <t xml:space="preserve">Organización</t>
  </si>
  <si>
    <t xml:space="preserve">País</t>
  </si>
  <si>
    <t xml:space="preserve">Idioma preferido</t>
  </si>
  <si>
    <t xml:space="preserve">ID de ronda</t>
  </si>
  <si>
    <t xml:space="preserve">Analizadores de CO</t>
  </si>
  <si>
    <t xml:space="preserve">Analizadores de SO₂</t>
  </si>
  <si>
    <t xml:space="preserve">Analizadores de O₃</t>
  </si>
  <si>
    <t xml:space="preserve">Analizadores de NO/NO₂</t>
  </si>
  <si>
    <t xml:space="preserve">Cantidad de analizadores</t>
  </si>
  <si>
    <t xml:space="preserve">Número de cotización</t>
  </si>
  <si>
    <t xml:space="preserve">Revisión de cotización</t>
  </si>
  <si>
    <t xml:space="preserve">Valor cotizado (COP)</t>
  </si>
  <si>
    <t xml:space="preserve">Valor comprometido actual (COP)</t>
  </si>
  <si>
    <t xml:space="preserve">Vencimiento de cotización</t>
  </si>
  <si>
    <t xml:space="preserve">Fecha límite de aceptación</t>
  </si>
  <si>
    <t xml:space="preserve">Fecha límite de pago/orden de compra</t>
  </si>
  <si>
    <t xml:space="preserve">Fecha de inscripción</t>
  </si>
  <si>
    <t xml:space="preserve">Fecha y hora de aceptación</t>
  </si>
  <si>
    <t xml:space="preserve">Canal de aceptación</t>
  </si>
  <si>
    <t xml:space="preserve">Laboratorio acreditado</t>
  </si>
  <si>
    <t xml:space="preserve">Elegibilidad completa</t>
  </si>
  <si>
    <t xml:space="preserve">Estado de revisión del contrato</t>
  </si>
  <si>
    <t xml:space="preserve">Fecha de revisión del contrato</t>
  </si>
  <si>
    <t xml:space="preserve">Revisor del contrato</t>
  </si>
  <si>
    <t xml:space="preserve">Estado de orden/pago/factura</t>
  </si>
  <si>
    <t xml:space="preserve">Valor recibido (COP)</t>
  </si>
  <si>
    <t xml:space="preserve">Saldo pendiente (COP)</t>
  </si>
  <si>
    <t xml:space="preserve">% pagado</t>
  </si>
  <si>
    <t xml:space="preserve">Vencimiento de próxima cuota</t>
  </si>
  <si>
    <t xml:space="preserve">Número de factura</t>
  </si>
  <si>
    <t xml:space="preserve">Código de participante</t>
  </si>
  <si>
    <t xml:space="preserve">Configuración operativa</t>
  </si>
  <si>
    <t xml:space="preserve">Estado comercial</t>
  </si>
  <si>
    <t xml:space="preserve">Grupo de lista de espera</t>
  </si>
  <si>
    <t xml:space="preserve">Fecha y hora de lista de espera</t>
  </si>
  <si>
    <t xml:space="preserve">Posición en lista de espera</t>
  </si>
  <si>
    <t xml:space="preserve">Último cupo disponible</t>
  </si>
  <si>
    <t xml:space="preserve">Alerta de capacidad</t>
  </si>
  <si>
    <t xml:space="preserve">Alerta de pago</t>
  </si>
  <si>
    <t xml:space="preserve">Estado de cancelación/reembolso</t>
  </si>
  <si>
    <t xml:space="preserve">Fecha de cancelación</t>
  </si>
  <si>
    <t xml:space="preserve">Referencia de reembolso/nota crédito</t>
  </si>
  <si>
    <t xml:space="preserve">Exposición cambiaria</t>
  </si>
  <si>
    <t xml:space="preserve">Responsable</t>
  </si>
  <si>
    <t xml:space="preserve">Próxima acción</t>
  </si>
  <si>
    <t xml:space="preserve">Enlace/ubicación de comunicación</t>
  </si>
  <si>
    <t xml:space="preserve">Fecha de expresión de interés</t>
  </si>
  <si>
    <t xml:space="preserve">Vencimiento de expresión de interés</t>
  </si>
  <si>
    <t xml:space="preserve">Indicador de interés obsoleto</t>
  </si>
  <si>
    <t xml:space="preserve">Consentimiento de mercadeo</t>
  </si>
  <si>
    <t xml:space="preserve">Referencia CS-09</t>
  </si>
  <si>
    <t xml:space="preserve">Referencia CS-12</t>
  </si>
  <si>
    <t xml:space="preserve">Notas</t>
  </si>
  <si>
    <t xml:space="preserve">No aplica — solo COP</t>
  </si>
  <si>
    <t xml:space="preserve">Flujo de oportunidades</t>
  </si>
  <si>
    <t xml:space="preserve">Interés hasta cotización; excluye intereses obsoletos.</t>
  </si>
  <si>
    <t xml:space="preserve">Intereses activos</t>
  </si>
  <si>
    <t xml:space="preserve">Cotizaciones activas</t>
  </si>
  <si>
    <t xml:space="preserve">Revisiones de cotización en curso</t>
  </si>
  <si>
    <t xml:space="preserve">Intereses obsoletos</t>
  </si>
  <si>
    <t xml:space="preserve">Inscripción</t>
  </si>
  <si>
    <t xml:space="preserve">Capacidad confirmada para la ronda indicada en B3.</t>
  </si>
  <si>
    <t xml:space="preserve">Indicador</t>
  </si>
  <si>
    <t xml:space="preserve">Confirmado</t>
  </si>
  <si>
    <t xml:space="preserve">Límite</t>
  </si>
  <si>
    <t xml:space="preserve">Residual</t>
  </si>
  <si>
    <t xml:space="preserve">Alerta</t>
  </si>
  <si>
    <t xml:space="preserve">4</t>
  </si>
  <si>
    <t xml:space="preserve">Organizaciones con CO/SO₂ simultáneos</t>
  </si>
  <si>
    <t xml:space="preserve">3</t>
  </si>
  <si>
    <t xml:space="preserve">Analizadores de CO/SO₂ simultáneos</t>
  </si>
  <si>
    <t xml:space="preserve">6</t>
  </si>
  <si>
    <t xml:space="preserve">Viabilidad</t>
  </si>
  <si>
    <t xml:space="preserve">Ingresos confirmados frente al umbral. Indique la ronda y el umbral aprobado en CS-04.</t>
  </si>
  <si>
    <t xml:space="preserve">Ingreso mínimo aprobado (COP)</t>
  </si>
  <si>
    <t xml:space="preserve">Organizaciones confirmadas</t>
  </si>
  <si>
    <t xml:space="preserve">Ingreso comprometido confirmado (COP)</t>
  </si>
  <si>
    <t xml:space="preserve">Brecha/superávit (COP)</t>
  </si>
  <si>
    <t xml:space="preserve">Decisión</t>
  </si>
  <si>
    <t xml:space="preserve">Cuentas por cobrar</t>
  </si>
  <si>
    <t xml:space="preserve">Resumen de caja y vencimientos de los registros del rastreador.</t>
  </si>
  <si>
    <t xml:space="preserve">Committed COP</t>
  </si>
  <si>
    <t xml:space="preserve">Received COP</t>
  </si>
  <si>
    <t xml:space="preserve">Outstanding COP</t>
  </si>
  <si>
    <t xml:space="preserve">Overdue accounts</t>
  </si>
  <si>
    <t xml:space="preserve">Expired payment/PO deadlines</t>
  </si>
  <si>
    <t xml:space="preserve">Excepciones</t>
  </si>
  <si>
    <t xml:space="preserve">Registros en lista de espera, rechazados, retirados, cancelados, reembolsados o en disputa.</t>
  </si>
  <si>
    <t xml:space="preserve">Wait-listed</t>
  </si>
  <si>
    <t xml:space="preserve">Rejected</t>
  </si>
  <si>
    <t xml:space="preserve">Withdrawn</t>
  </si>
  <si>
    <t xml:space="preserve">Cancelled</t>
  </si>
  <si>
    <t xml:space="preserve">Refunded</t>
  </si>
  <si>
    <t xml:space="preserve">Disputed</t>
  </si>
  <si>
    <t xml:space="preserve">Los valores controlados están incorporados en las validaciones del rastreador. Esta hoja se reserva para ampliaciones institucionales.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</si>
</sst>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hh:mm:ss\ AM/PM"/>
    <numFmt numFmtId="166" formatCode="[$-409]mm/dd/yy"/>
    <numFmt numFmtId="167" formatCode="[$-409]General"/>
    <numFmt numFmtId="168" formatCode="@"/>
    <numFmt numFmtId="169" formatCode="hh:mm:ss\ AM/P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5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5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98"/>
    <col collapsed="false" customWidth="true" hidden="false" outlineLevel="0" max="2" min="2" style="0" width="112.36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2.8" hidden="false" customHeight="false" outlineLevel="0" collapsed="false">
      <c r="A3" s="3" t="s">
        <v>1</v>
      </c>
      <c r="B3" s="2" t="s">
        <v>2</v>
      </c>
      <c r="C3" s="2"/>
      <c r="D3" s="2"/>
      <c r="E3" s="2"/>
      <c r="F3" s="2"/>
      <c r="G3" s="2"/>
      <c r="H3" s="2"/>
    </row>
    <row r="4" customFormat="false" ht="12.8" hidden="false" customHeight="false" outlineLevel="0" collapsed="false">
      <c r="A4" s="3" t="s">
        <v>3</v>
      </c>
      <c r="B4" s="2" t="s">
        <v>4</v>
      </c>
      <c r="C4" s="2"/>
      <c r="D4" s="2"/>
      <c r="E4" s="2"/>
      <c r="F4" s="2"/>
      <c r="G4" s="2"/>
      <c r="H4" s="2"/>
    </row>
    <row r="5" customFormat="false" ht="12.8" hidden="false" customHeight="false" outlineLevel="0" collapsed="false">
      <c r="A5" s="3" t="s">
        <v>5</v>
      </c>
      <c r="B5" s="2" t="s">
        <v>6</v>
      </c>
      <c r="C5" s="2"/>
      <c r="D5" s="2"/>
      <c r="E5" s="2"/>
      <c r="F5" s="2"/>
      <c r="G5" s="2"/>
      <c r="H5" s="2"/>
    </row>
    <row r="6" customFormat="false" ht="12.8" hidden="false" customHeight="false" outlineLevel="0" collapsed="false">
      <c r="A6" s="3" t="s">
        <v>7</v>
      </c>
      <c r="B6" s="2" t="s">
        <v>8</v>
      </c>
      <c r="C6" s="2"/>
      <c r="D6" s="2"/>
      <c r="E6" s="2"/>
      <c r="F6" s="2"/>
      <c r="G6" s="2"/>
      <c r="H6" s="2"/>
    </row>
    <row r="7" customFormat="false" ht="12.8" hidden="false" customHeight="false" outlineLevel="0" collapsed="false">
      <c r="A7" s="3" t="s">
        <v>9</v>
      </c>
      <c r="B7" s="2" t="s">
        <v>10</v>
      </c>
      <c r="C7" s="2"/>
      <c r="D7" s="2"/>
      <c r="E7" s="2"/>
      <c r="F7" s="2"/>
      <c r="G7" s="2"/>
      <c r="H7" s="2"/>
    </row>
    <row r="8" customFormat="false" ht="12.8" hidden="false" customHeight="false" outlineLevel="0" collapsed="false">
      <c r="A8" s="3" t="s">
        <v>11</v>
      </c>
      <c r="B8" s="2" t="s">
        <v>12</v>
      </c>
      <c r="C8" s="2"/>
      <c r="D8" s="2"/>
      <c r="E8" s="2"/>
      <c r="F8" s="2"/>
      <c r="G8" s="2"/>
      <c r="H8" s="2"/>
    </row>
    <row r="9" customFormat="false" ht="12.8" hidden="false" customHeight="false" outlineLevel="0" collapsed="false">
      <c r="A9" s="3" t="s">
        <v>13</v>
      </c>
      <c r="B9" s="2" t="s">
        <v>14</v>
      </c>
      <c r="C9" s="2"/>
      <c r="D9" s="2"/>
      <c r="E9" s="2"/>
      <c r="F9" s="2"/>
      <c r="G9" s="2"/>
      <c r="H9" s="2"/>
    </row>
    <row r="10" customFormat="false" ht="23.85" hidden="false" customHeight="false" outlineLevel="0" collapsed="false">
      <c r="A10" s="3" t="s">
        <v>15</v>
      </c>
      <c r="B10" s="2" t="s">
        <v>16</v>
      </c>
      <c r="C10" s="2"/>
      <c r="D10" s="2"/>
      <c r="E10" s="2"/>
      <c r="F10" s="2"/>
      <c r="G10" s="2"/>
      <c r="H10" s="2"/>
    </row>
    <row r="11" customFormat="false" ht="12.8" hidden="false" customHeight="false" outlineLevel="0" collapsed="false">
      <c r="A11" s="3" t="s">
        <v>17</v>
      </c>
      <c r="B11" s="2" t="s">
        <v>18</v>
      </c>
      <c r="C11" s="2"/>
      <c r="D11" s="2"/>
      <c r="E11" s="2"/>
      <c r="F11" s="2"/>
      <c r="G11" s="2"/>
      <c r="H11" s="2"/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</sheetData>
  <sheetProtection sheet="true" password="96eb" objects="true" scenarios="true"/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01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30.65"/>
    <col collapsed="false" customWidth="true" hidden="false" outlineLevel="0" max="45" min="3" style="0" width="17.88"/>
    <col collapsed="false" customWidth="true" hidden="false" outlineLevel="0" max="47" min="46" style="0" width="30.65"/>
    <col collapsed="false" customWidth="true" hidden="false" outlineLevel="0" max="53" min="48" style="0" width="17.88"/>
    <col collapsed="false" customWidth="true" hidden="false" outlineLevel="0" max="54" min="54" style="0" width="30.65"/>
  </cols>
  <sheetData>
    <row r="1" customFormat="false" ht="51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63</v>
      </c>
      <c r="AT1" s="5" t="s">
        <v>64</v>
      </c>
      <c r="AU1" s="5" t="s">
        <v>65</v>
      </c>
      <c r="AV1" s="5" t="s">
        <v>66</v>
      </c>
      <c r="AW1" s="5" t="s">
        <v>67</v>
      </c>
      <c r="AX1" s="5" t="s">
        <v>68</v>
      </c>
      <c r="AY1" s="5" t="s">
        <v>69</v>
      </c>
      <c r="AZ1" s="5" t="s">
        <v>70</v>
      </c>
      <c r="BA1" s="5" t="s">
        <v>71</v>
      </c>
      <c r="BB1" s="5" t="s">
        <v>72</v>
      </c>
      <c r="BC1" s="4"/>
      <c r="BD1" s="4"/>
    </row>
    <row r="2" customFormat="false" ht="23.8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2" t="n">
        <f aca="false">SUM(F2:I2)</f>
        <v>0</v>
      </c>
      <c r="K2" s="6"/>
      <c r="L2" s="6"/>
      <c r="M2" s="7"/>
      <c r="N2" s="7"/>
      <c r="O2" s="8"/>
      <c r="P2" s="8"/>
      <c r="Q2" s="8"/>
      <c r="R2" s="8"/>
      <c r="S2" s="8"/>
      <c r="T2" s="6"/>
      <c r="U2" s="6"/>
      <c r="V2" s="6"/>
      <c r="W2" s="6"/>
      <c r="X2" s="8"/>
      <c r="Y2" s="6"/>
      <c r="Z2" s="6"/>
      <c r="AA2" s="7"/>
      <c r="AB2" s="9" t="str">
        <f aca="false">IF(N2="","",MAX(0,N2-AA2))</f>
        <v/>
      </c>
      <c r="AC2" s="10" t="str">
        <f aca="false">IF(N2="","",IF(N2=0,0,AA2/N2))</f>
        <v/>
      </c>
      <c r="AD2" s="8"/>
      <c r="AE2" s="6"/>
      <c r="AF2" s="6"/>
      <c r="AG2" s="6"/>
      <c r="AH2" s="6"/>
      <c r="AI2" s="2" t="str">
        <f aca="false">IF(A2="","",IF(V2="Yes",IF(U2="Yes",1,2),""))</f>
        <v/>
      </c>
      <c r="AJ2" s="8"/>
      <c r="AK2" s="2" t="str">
        <f aca="false">IF(A2="","",IF(AJ2="","",COUNTIFS($E$2:$E$201,E2,$AI$2:$AI$201,AI2,$AJ$2:$AJ$201,"&lt;="&amp;AJ2)))</f>
        <v/>
      </c>
      <c r="AL2" s="2" t="str">
        <f aca="false">IF(A2="","",IF(AH2&lt;&gt;"Confirmado","No",IF(AG2="CO/SO₂ simultáneos",IF(OR(COUNTIFS($E$2:$E$201,E2,$AH$2:$AH$201,"Confirmado",$AG$2:$AG$201,"CO/SO₂ simultáneos")=3,SUMIFS($J$2:$J$201,$E$2:$E$201,E2,$AH$2:$AH$201,"Confirmado",$AG$2:$AG$201,"CO/SO₂ simultáneos")=6),"Sí","No"),IF(OR(AND(F2&gt;0,SUMIFS($F$2:$F$201,$E$2:$E$201,E2,$AH$2:$AH$201,"Confirmado")=4),AND(G2&gt;0,SUMIFS($G$2:$G$201,$E$2:$E$201,E2,$AH$2:$AH$201,"Confirmado")=4),AND(H2&gt;0,SUMIFS($H$2:$H$201,$E$2:$E$201,E2,$AH$2:$AH$201,"Confirmado")=4),AND(I2&gt;0,SUMIFS($I$2:$I$201,$E$2:$E$201,E2,$AH$2:$AH$201,"Confirmado")=4)),"Sí","No"))))</f>
        <v/>
      </c>
      <c r="AM2" s="2" t="str">
        <f aca="false">IF(A2="","",IF(AH2&lt;&gt;"Confirmado","",IF(AG2="CO/SO₂ simultáneos",IF(OR(COUNTIFS($E$2:$E$201,E2,$AH$2:$AH$201,"Confirmado",$AG$2:$AG$201,"CO/SO₂ simultáneos")&gt;3,SUMIFS($J$2:$J$201,$E$2:$E$201,E2,$AH$2:$AH$201,"Confirmado",$AG$2:$AG$201,"CO/SO₂ simultáneos")&gt;6),"CAPACIDAD EXCEDIDA","OK"),IF(OR(SUMIFS($F$2:$F$201,$E$2:$E$201,E2,$AH$2:$AH$201,"Confirmado")&gt;4,SUMIFS($G$2:$G$201,$E$2:$E$201,E2,$AH$2:$AH$201,"Confirmado")&gt;4,SUMIFS($H$2:$H$201,$E$2:$E$201,E2,$AH$2:$AH$201,"Confirmado")&gt;4,SUMIFS($I$2:$I$201,$E$2:$E$201,E2,$AH$2:$AH$201,"Confirmado")&gt;4),"CAPACIDAD EXCEDIDA","OK"))))</f>
        <v/>
      </c>
      <c r="AN2" s="2" t="str">
        <f aca="true">IF(A2="","",IF(AND(AC2&lt;1,Q2&lt;TODAY(),AH2="Aceptado pendiente de pago/orden"),"PLAZO VENCIDO",IF(AND(AC2&lt;1,AD2&lt;&gt;"",AD2&lt;TODAY()),"VENCIDO","OK")))</f>
        <v/>
      </c>
      <c r="AO2" s="6"/>
      <c r="AP2" s="8"/>
      <c r="AQ2" s="6"/>
      <c r="AR2" s="6" t="s">
        <v>73</v>
      </c>
      <c r="AS2" s="6"/>
      <c r="AT2" s="6"/>
      <c r="AU2" s="6"/>
      <c r="AV2" s="6"/>
      <c r="AW2" s="8" t="str">
        <f aca="false">IF(AV2="","",AV2+60)</f>
        <v/>
      </c>
      <c r="AX2" s="11" t="str">
        <f aca="true">IF(A2="","",IF(AND(AV2&lt;&gt;"",AW2&lt;TODAY(),OR(AH2="Interés",AH2="Cotizado")),"Sí","No"))</f>
        <v/>
      </c>
      <c r="AY2" s="6"/>
      <c r="AZ2" s="6"/>
      <c r="BA2" s="6"/>
      <c r="BB2" s="6"/>
      <c r="BC2" s="4"/>
      <c r="BD2" s="12"/>
    </row>
    <row r="3" customFormat="false" ht="23.8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2" t="n">
        <f aca="false">SUM(F3:I3)</f>
        <v>0</v>
      </c>
      <c r="K3" s="6"/>
      <c r="L3" s="6"/>
      <c r="M3" s="7"/>
      <c r="N3" s="7"/>
      <c r="O3" s="8"/>
      <c r="P3" s="8"/>
      <c r="Q3" s="8"/>
      <c r="R3" s="8"/>
      <c r="S3" s="8"/>
      <c r="T3" s="6"/>
      <c r="U3" s="6"/>
      <c r="V3" s="6"/>
      <c r="W3" s="6"/>
      <c r="X3" s="8"/>
      <c r="Y3" s="6"/>
      <c r="Z3" s="6"/>
      <c r="AA3" s="7"/>
      <c r="AB3" s="9" t="str">
        <f aca="false">IF(N3="","",MAX(0,N3-AA3))</f>
        <v/>
      </c>
      <c r="AC3" s="10" t="str">
        <f aca="false">IF(N3="","",IF(N3=0,0,AA3/N3))</f>
        <v/>
      </c>
      <c r="AD3" s="8"/>
      <c r="AE3" s="6"/>
      <c r="AF3" s="6"/>
      <c r="AG3" s="6"/>
      <c r="AH3" s="6"/>
      <c r="AI3" s="2" t="str">
        <f aca="false">IF(A3="","",IF(V3="Yes",IF(U3="Yes",1,2),""))</f>
        <v/>
      </c>
      <c r="AJ3" s="8"/>
      <c r="AK3" s="2" t="str">
        <f aca="false">IF(A3="","",IF(AJ3="","",COUNTIFS($E$2:$E$201,E3,$AI$2:$AI$201,AI3,$AJ$2:$AJ$201,"&lt;="&amp;AJ3)))</f>
        <v/>
      </c>
      <c r="AL3" s="2" t="str">
        <f aca="false">IF(A3="","",IF(AH3&lt;&gt;"Confirmado","No",IF(AG3="CO/SO₂ simultáneos",IF(OR(COUNTIFS($E$2:$E$201,E3,$AH$2:$AH$201,"Confirmado",$AG$2:$AG$201,"CO/SO₂ simultáneos")=3,SUMIFS($J$2:$J$201,$E$2:$E$201,E3,$AH$2:$AH$201,"Confirmado",$AG$2:$AG$201,"CO/SO₂ simultáneos")=6),"Sí","No"),IF(OR(AND(F3&gt;0,SUMIFS($F$2:$F$201,$E$2:$E$201,E3,$AH$2:$AH$201,"Confirmado")=4),AND(G3&gt;0,SUMIFS($G$2:$G$201,$E$2:$E$201,E3,$AH$2:$AH$201,"Confirmado")=4),AND(H3&gt;0,SUMIFS($H$2:$H$201,$E$2:$E$201,E3,$AH$2:$AH$201,"Confirmado")=4),AND(I3&gt;0,SUMIFS($I$2:$I$201,$E$2:$E$201,E3,$AH$2:$AH$201,"Confirmado")=4)),"Sí","No"))))</f>
        <v/>
      </c>
      <c r="AM3" s="2" t="str">
        <f aca="false">IF(A3="","",IF(AH3&lt;&gt;"Confirmado","",IF(AG3="CO/SO₂ simultáneos",IF(OR(COUNTIFS($E$2:$E$201,E3,$AH$2:$AH$201,"Confirmado",$AG$2:$AG$201,"CO/SO₂ simultáneos")&gt;3,SUMIFS($J$2:$J$201,$E$2:$E$201,E3,$AH$2:$AH$201,"Confirmado",$AG$2:$AG$201,"CO/SO₂ simultáneos")&gt;6),"CAPACIDAD EXCEDIDA","OK"),IF(OR(SUMIFS($F$2:$F$201,$E$2:$E$201,E3,$AH$2:$AH$201,"Confirmado")&gt;4,SUMIFS($G$2:$G$201,$E$2:$E$201,E3,$AH$2:$AH$201,"Confirmado")&gt;4,SUMIFS($H$2:$H$201,$E$2:$E$201,E3,$AH$2:$AH$201,"Confirmado")&gt;4,SUMIFS($I$2:$I$201,$E$2:$E$201,E3,$AH$2:$AH$201,"Confirmado")&gt;4),"CAPACIDAD EXCEDIDA","OK"))))</f>
        <v/>
      </c>
      <c r="AN3" s="2" t="str">
        <f aca="true">IF(A3="","",IF(AND(AC3&lt;1,Q3&lt;TODAY(),AH3="Aceptado pendiente de pago/orden"),"PLAZO VENCIDO",IF(AND(AC3&lt;1,AD3&lt;&gt;"",AD3&lt;TODAY()),"VENCIDO","OK")))</f>
        <v/>
      </c>
      <c r="AO3" s="6"/>
      <c r="AP3" s="8"/>
      <c r="AQ3" s="6"/>
      <c r="AR3" s="6" t="s">
        <v>73</v>
      </c>
      <c r="AS3" s="6"/>
      <c r="AT3" s="6"/>
      <c r="AU3" s="6"/>
      <c r="AV3" s="6"/>
      <c r="AW3" s="8" t="str">
        <f aca="false">IF(AV3="","",AV3+60)</f>
        <v/>
      </c>
      <c r="AX3" s="11" t="str">
        <f aca="true">IF(A3="","",IF(AND(AV3&lt;&gt;"",AW3&lt;TODAY(),OR(AH3="Interés",AH3="Cotizado")),"Sí","No"))</f>
        <v/>
      </c>
      <c r="AY3" s="6"/>
      <c r="AZ3" s="6"/>
      <c r="BA3" s="6"/>
      <c r="BB3" s="6"/>
      <c r="BC3" s="4"/>
      <c r="BD3" s="12"/>
    </row>
    <row r="4" customFormat="false" ht="23.8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2" t="n">
        <f aca="false">SUM(F4:I4)</f>
        <v>0</v>
      </c>
      <c r="K4" s="6"/>
      <c r="L4" s="6"/>
      <c r="M4" s="7"/>
      <c r="N4" s="7"/>
      <c r="O4" s="8"/>
      <c r="P4" s="8"/>
      <c r="Q4" s="8"/>
      <c r="R4" s="8"/>
      <c r="S4" s="8"/>
      <c r="T4" s="6"/>
      <c r="U4" s="6"/>
      <c r="V4" s="6"/>
      <c r="W4" s="6"/>
      <c r="X4" s="8"/>
      <c r="Y4" s="6"/>
      <c r="Z4" s="6"/>
      <c r="AA4" s="7"/>
      <c r="AB4" s="9" t="str">
        <f aca="false">IF(N4="","",MAX(0,N4-AA4))</f>
        <v/>
      </c>
      <c r="AC4" s="10" t="str">
        <f aca="false">IF(N4="","",IF(N4=0,0,AA4/N4))</f>
        <v/>
      </c>
      <c r="AD4" s="8"/>
      <c r="AE4" s="6"/>
      <c r="AF4" s="6"/>
      <c r="AG4" s="6"/>
      <c r="AH4" s="6"/>
      <c r="AI4" s="2" t="str">
        <f aca="false">IF(A4="","",IF(V4="Yes",IF(U4="Yes",1,2),""))</f>
        <v/>
      </c>
      <c r="AJ4" s="8"/>
      <c r="AK4" s="2" t="str">
        <f aca="false">IF(A4="","",IF(AJ4="","",COUNTIFS($E$2:$E$201,E4,$AI$2:$AI$201,AI4,$AJ$2:$AJ$201,"&lt;="&amp;AJ4)))</f>
        <v/>
      </c>
      <c r="AL4" s="2" t="str">
        <f aca="false">IF(A4="","",IF(AH4&lt;&gt;"Confirmado","No",IF(AG4="CO/SO₂ simultáneos",IF(OR(COUNTIFS($E$2:$E$201,E4,$AH$2:$AH$201,"Confirmado",$AG$2:$AG$201,"CO/SO₂ simultáneos")=3,SUMIFS($J$2:$J$201,$E$2:$E$201,E4,$AH$2:$AH$201,"Confirmado",$AG$2:$AG$201,"CO/SO₂ simultáneos")=6),"Sí","No"),IF(OR(AND(F4&gt;0,SUMIFS($F$2:$F$201,$E$2:$E$201,E4,$AH$2:$AH$201,"Confirmado")=4),AND(G4&gt;0,SUMIFS($G$2:$G$201,$E$2:$E$201,E4,$AH$2:$AH$201,"Confirmado")=4),AND(H4&gt;0,SUMIFS($H$2:$H$201,$E$2:$E$201,E4,$AH$2:$AH$201,"Confirmado")=4),AND(I4&gt;0,SUMIFS($I$2:$I$201,$E$2:$E$201,E4,$AH$2:$AH$201,"Confirmado")=4)),"Sí","No"))))</f>
        <v/>
      </c>
      <c r="AM4" s="2" t="str">
        <f aca="false">IF(A4="","",IF(AH4&lt;&gt;"Confirmado","",IF(AG4="CO/SO₂ simultáneos",IF(OR(COUNTIFS($E$2:$E$201,E4,$AH$2:$AH$201,"Confirmado",$AG$2:$AG$201,"CO/SO₂ simultáneos")&gt;3,SUMIFS($J$2:$J$201,$E$2:$E$201,E4,$AH$2:$AH$201,"Confirmado",$AG$2:$AG$201,"CO/SO₂ simultáneos")&gt;6),"CAPACIDAD EXCEDIDA","OK"),IF(OR(SUMIFS($F$2:$F$201,$E$2:$E$201,E4,$AH$2:$AH$201,"Confirmado")&gt;4,SUMIFS($G$2:$G$201,$E$2:$E$201,E4,$AH$2:$AH$201,"Confirmado")&gt;4,SUMIFS($H$2:$H$201,$E$2:$E$201,E4,$AH$2:$AH$201,"Confirmado")&gt;4,SUMIFS($I$2:$I$201,$E$2:$E$201,E4,$AH$2:$AH$201,"Confirmado")&gt;4),"CAPACIDAD EXCEDIDA","OK"))))</f>
        <v/>
      </c>
      <c r="AN4" s="2" t="str">
        <f aca="true">IF(A4="","",IF(AND(AC4&lt;1,Q4&lt;TODAY(),AH4="Aceptado pendiente de pago/orden"),"PLAZO VENCIDO",IF(AND(AC4&lt;1,AD4&lt;&gt;"",AD4&lt;TODAY()),"VENCIDO","OK")))</f>
        <v/>
      </c>
      <c r="AO4" s="6"/>
      <c r="AP4" s="8"/>
      <c r="AQ4" s="6"/>
      <c r="AR4" s="6" t="s">
        <v>73</v>
      </c>
      <c r="AS4" s="6"/>
      <c r="AT4" s="6"/>
      <c r="AU4" s="6"/>
      <c r="AV4" s="6"/>
      <c r="AW4" s="8" t="str">
        <f aca="false">IF(AV4="","",AV4+60)</f>
        <v/>
      </c>
      <c r="AX4" s="11" t="str">
        <f aca="true">IF(A4="","",IF(AND(AV4&lt;&gt;"",AW4&lt;TODAY(),OR(AH4="Interés",AH4="Cotizado")),"Sí","No"))</f>
        <v/>
      </c>
      <c r="AY4" s="6"/>
      <c r="AZ4" s="6"/>
      <c r="BA4" s="6"/>
      <c r="BB4" s="6"/>
      <c r="BC4" s="4"/>
      <c r="BD4" s="12"/>
    </row>
    <row r="5" customFormat="false" ht="23.8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2" t="n">
        <f aca="false">SUM(F5:I5)</f>
        <v>0</v>
      </c>
      <c r="K5" s="6"/>
      <c r="L5" s="6"/>
      <c r="M5" s="7"/>
      <c r="N5" s="7"/>
      <c r="O5" s="8"/>
      <c r="P5" s="8"/>
      <c r="Q5" s="8"/>
      <c r="R5" s="8"/>
      <c r="S5" s="8"/>
      <c r="T5" s="6"/>
      <c r="U5" s="6"/>
      <c r="V5" s="6"/>
      <c r="W5" s="6"/>
      <c r="X5" s="8"/>
      <c r="Y5" s="6"/>
      <c r="Z5" s="6"/>
      <c r="AA5" s="7"/>
      <c r="AB5" s="9" t="str">
        <f aca="false">IF(N5="","",MAX(0,N5-AA5))</f>
        <v/>
      </c>
      <c r="AC5" s="10" t="str">
        <f aca="false">IF(N5="","",IF(N5=0,0,AA5/N5))</f>
        <v/>
      </c>
      <c r="AD5" s="8"/>
      <c r="AE5" s="6"/>
      <c r="AF5" s="6"/>
      <c r="AG5" s="6"/>
      <c r="AH5" s="6"/>
      <c r="AI5" s="2" t="str">
        <f aca="false">IF(A5="","",IF(V5="Yes",IF(U5="Yes",1,2),""))</f>
        <v/>
      </c>
      <c r="AJ5" s="8"/>
      <c r="AK5" s="2" t="str">
        <f aca="false">IF(A5="","",IF(AJ5="","",COUNTIFS($E$2:$E$201,E5,$AI$2:$AI$201,AI5,$AJ$2:$AJ$201,"&lt;="&amp;AJ5)))</f>
        <v/>
      </c>
      <c r="AL5" s="2" t="str">
        <f aca="false">IF(A5="","",IF(AH5&lt;&gt;"Confirmado","No",IF(AG5="CO/SO₂ simultáneos",IF(OR(COUNTIFS($E$2:$E$201,E5,$AH$2:$AH$201,"Confirmado",$AG$2:$AG$201,"CO/SO₂ simultáneos")=3,SUMIFS($J$2:$J$201,$E$2:$E$201,E5,$AH$2:$AH$201,"Confirmado",$AG$2:$AG$201,"CO/SO₂ simultáneos")=6),"Sí","No"),IF(OR(AND(F5&gt;0,SUMIFS($F$2:$F$201,$E$2:$E$201,E5,$AH$2:$AH$201,"Confirmado")=4),AND(G5&gt;0,SUMIFS($G$2:$G$201,$E$2:$E$201,E5,$AH$2:$AH$201,"Confirmado")=4),AND(H5&gt;0,SUMIFS($H$2:$H$201,$E$2:$E$201,E5,$AH$2:$AH$201,"Confirmado")=4),AND(I5&gt;0,SUMIFS($I$2:$I$201,$E$2:$E$201,E5,$AH$2:$AH$201,"Confirmado")=4)),"Sí","No"))))</f>
        <v/>
      </c>
      <c r="AM5" s="2" t="str">
        <f aca="false">IF(A5="","",IF(AH5&lt;&gt;"Confirmado","",IF(AG5="CO/SO₂ simultáneos",IF(OR(COUNTIFS($E$2:$E$201,E5,$AH$2:$AH$201,"Confirmado",$AG$2:$AG$201,"CO/SO₂ simultáneos")&gt;3,SUMIFS($J$2:$J$201,$E$2:$E$201,E5,$AH$2:$AH$201,"Confirmado",$AG$2:$AG$201,"CO/SO₂ simultáneos")&gt;6),"CAPACIDAD EXCEDIDA","OK"),IF(OR(SUMIFS($F$2:$F$201,$E$2:$E$201,E5,$AH$2:$AH$201,"Confirmado")&gt;4,SUMIFS($G$2:$G$201,$E$2:$E$201,E5,$AH$2:$AH$201,"Confirmado")&gt;4,SUMIFS($H$2:$H$201,$E$2:$E$201,E5,$AH$2:$AH$201,"Confirmado")&gt;4,SUMIFS($I$2:$I$201,$E$2:$E$201,E5,$AH$2:$AH$201,"Confirmado")&gt;4),"CAPACIDAD EXCEDIDA","OK"))))</f>
        <v/>
      </c>
      <c r="AN5" s="2" t="str">
        <f aca="true">IF(A5="","",IF(AND(AC5&lt;1,Q5&lt;TODAY(),AH5="Aceptado pendiente de pago/orden"),"PLAZO VENCIDO",IF(AND(AC5&lt;1,AD5&lt;&gt;"",AD5&lt;TODAY()),"VENCIDO","OK")))</f>
        <v/>
      </c>
      <c r="AO5" s="6"/>
      <c r="AP5" s="8"/>
      <c r="AQ5" s="6"/>
      <c r="AR5" s="6" t="s">
        <v>73</v>
      </c>
      <c r="AS5" s="6"/>
      <c r="AT5" s="6"/>
      <c r="AU5" s="6"/>
      <c r="AV5" s="6"/>
      <c r="AW5" s="8" t="str">
        <f aca="false">IF(AV5="","",AV5+60)</f>
        <v/>
      </c>
      <c r="AX5" s="11" t="str">
        <f aca="true">IF(A5="","",IF(AND(AV5&lt;&gt;"",AW5&lt;TODAY(),OR(AH5="Interés",AH5="Cotizado")),"Sí","No"))</f>
        <v/>
      </c>
      <c r="AY5" s="6"/>
      <c r="AZ5" s="6"/>
      <c r="BA5" s="6"/>
      <c r="BB5" s="6"/>
      <c r="BC5" s="4"/>
      <c r="BD5" s="12"/>
    </row>
    <row r="6" customFormat="false" ht="23.8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2" t="n">
        <f aca="false">SUM(F6:I6)</f>
        <v>0</v>
      </c>
      <c r="K6" s="6"/>
      <c r="L6" s="6"/>
      <c r="M6" s="7"/>
      <c r="N6" s="7"/>
      <c r="O6" s="8"/>
      <c r="P6" s="8"/>
      <c r="Q6" s="8"/>
      <c r="R6" s="8"/>
      <c r="S6" s="8"/>
      <c r="T6" s="6"/>
      <c r="U6" s="6"/>
      <c r="V6" s="6"/>
      <c r="W6" s="6"/>
      <c r="X6" s="8"/>
      <c r="Y6" s="6"/>
      <c r="Z6" s="6"/>
      <c r="AA6" s="7"/>
      <c r="AB6" s="9" t="str">
        <f aca="false">IF(N6="","",MAX(0,N6-AA6))</f>
        <v/>
      </c>
      <c r="AC6" s="10" t="str">
        <f aca="false">IF(N6="","",IF(N6=0,0,AA6/N6))</f>
        <v/>
      </c>
      <c r="AD6" s="8"/>
      <c r="AE6" s="6"/>
      <c r="AF6" s="6"/>
      <c r="AG6" s="6"/>
      <c r="AH6" s="6"/>
      <c r="AI6" s="2" t="str">
        <f aca="false">IF(A6="","",IF(V6="Yes",IF(U6="Yes",1,2),""))</f>
        <v/>
      </c>
      <c r="AJ6" s="8"/>
      <c r="AK6" s="2" t="str">
        <f aca="false">IF(A6="","",IF(AJ6="","",COUNTIFS($E$2:$E$201,E6,$AI$2:$AI$201,AI6,$AJ$2:$AJ$201,"&lt;="&amp;AJ6)))</f>
        <v/>
      </c>
      <c r="AL6" s="2" t="str">
        <f aca="false">IF(A6="","",IF(AH6&lt;&gt;"Confirmado","No",IF(AG6="CO/SO₂ simultáneos",IF(OR(COUNTIFS($E$2:$E$201,E6,$AH$2:$AH$201,"Confirmado",$AG$2:$AG$201,"CO/SO₂ simultáneos")=3,SUMIFS($J$2:$J$201,$E$2:$E$201,E6,$AH$2:$AH$201,"Confirmado",$AG$2:$AG$201,"CO/SO₂ simultáneos")=6),"Sí","No"),IF(OR(AND(F6&gt;0,SUMIFS($F$2:$F$201,$E$2:$E$201,E6,$AH$2:$AH$201,"Confirmado")=4),AND(G6&gt;0,SUMIFS($G$2:$G$201,$E$2:$E$201,E6,$AH$2:$AH$201,"Confirmado")=4),AND(H6&gt;0,SUMIFS($H$2:$H$201,$E$2:$E$201,E6,$AH$2:$AH$201,"Confirmado")=4),AND(I6&gt;0,SUMIFS($I$2:$I$201,$E$2:$E$201,E6,$AH$2:$AH$201,"Confirmado")=4)),"Sí","No"))))</f>
        <v/>
      </c>
      <c r="AM6" s="2" t="str">
        <f aca="false">IF(A6="","",IF(AH6&lt;&gt;"Confirmado","",IF(AG6="CO/SO₂ simultáneos",IF(OR(COUNTIFS($E$2:$E$201,E6,$AH$2:$AH$201,"Confirmado",$AG$2:$AG$201,"CO/SO₂ simultáneos")&gt;3,SUMIFS($J$2:$J$201,$E$2:$E$201,E6,$AH$2:$AH$201,"Confirmado",$AG$2:$AG$201,"CO/SO₂ simultáneos")&gt;6),"CAPACIDAD EXCEDIDA","OK"),IF(OR(SUMIFS($F$2:$F$201,$E$2:$E$201,E6,$AH$2:$AH$201,"Confirmado")&gt;4,SUMIFS($G$2:$G$201,$E$2:$E$201,E6,$AH$2:$AH$201,"Confirmado")&gt;4,SUMIFS($H$2:$H$201,$E$2:$E$201,E6,$AH$2:$AH$201,"Confirmado")&gt;4,SUMIFS($I$2:$I$201,$E$2:$E$201,E6,$AH$2:$AH$201,"Confirmado")&gt;4),"CAPACIDAD EXCEDIDA","OK"))))</f>
        <v/>
      </c>
      <c r="AN6" s="2" t="str">
        <f aca="true">IF(A6="","",IF(AND(AC6&lt;1,Q6&lt;TODAY(),AH6="Aceptado pendiente de pago/orden"),"PLAZO VENCIDO",IF(AND(AC6&lt;1,AD6&lt;&gt;"",AD6&lt;TODAY()),"VENCIDO","OK")))</f>
        <v/>
      </c>
      <c r="AO6" s="6"/>
      <c r="AP6" s="8"/>
      <c r="AQ6" s="6"/>
      <c r="AR6" s="6" t="s">
        <v>73</v>
      </c>
      <c r="AS6" s="6"/>
      <c r="AT6" s="6"/>
      <c r="AU6" s="6"/>
      <c r="AV6" s="6"/>
      <c r="AW6" s="8" t="str">
        <f aca="false">IF(AV6="","",AV6+60)</f>
        <v/>
      </c>
      <c r="AX6" s="11" t="str">
        <f aca="true">IF(A6="","",IF(AND(AV6&lt;&gt;"",AW6&lt;TODAY(),OR(AH6="Interés",AH6="Cotizado")),"Sí","No"))</f>
        <v/>
      </c>
      <c r="AY6" s="6"/>
      <c r="AZ6" s="6"/>
      <c r="BA6" s="6"/>
      <c r="BB6" s="6"/>
      <c r="BC6" s="4"/>
      <c r="BD6" s="12"/>
    </row>
    <row r="7" customFormat="false" ht="23.8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2" t="n">
        <f aca="false">SUM(F7:I7)</f>
        <v>0</v>
      </c>
      <c r="K7" s="6"/>
      <c r="L7" s="6"/>
      <c r="M7" s="7"/>
      <c r="N7" s="7"/>
      <c r="O7" s="8"/>
      <c r="P7" s="8"/>
      <c r="Q7" s="8"/>
      <c r="R7" s="8"/>
      <c r="S7" s="8"/>
      <c r="T7" s="6"/>
      <c r="U7" s="6"/>
      <c r="V7" s="6"/>
      <c r="W7" s="6"/>
      <c r="X7" s="8"/>
      <c r="Y7" s="6"/>
      <c r="Z7" s="6"/>
      <c r="AA7" s="7"/>
      <c r="AB7" s="9" t="str">
        <f aca="false">IF(N7="","",MAX(0,N7-AA7))</f>
        <v/>
      </c>
      <c r="AC7" s="10" t="str">
        <f aca="false">IF(N7="","",IF(N7=0,0,AA7/N7))</f>
        <v/>
      </c>
      <c r="AD7" s="8"/>
      <c r="AE7" s="6"/>
      <c r="AF7" s="6"/>
      <c r="AG7" s="6"/>
      <c r="AH7" s="6"/>
      <c r="AI7" s="2" t="str">
        <f aca="false">IF(A7="","",IF(V7="Yes",IF(U7="Yes",1,2),""))</f>
        <v/>
      </c>
      <c r="AJ7" s="8"/>
      <c r="AK7" s="2" t="str">
        <f aca="false">IF(A7="","",IF(AJ7="","",COUNTIFS($E$2:$E$201,E7,$AI$2:$AI$201,AI7,$AJ$2:$AJ$201,"&lt;="&amp;AJ7)))</f>
        <v/>
      </c>
      <c r="AL7" s="2" t="str">
        <f aca="false">IF(A7="","",IF(AH7&lt;&gt;"Confirmado","No",IF(AG7="CO/SO₂ simultáneos",IF(OR(COUNTIFS($E$2:$E$201,E7,$AH$2:$AH$201,"Confirmado",$AG$2:$AG$201,"CO/SO₂ simultáneos")=3,SUMIFS($J$2:$J$201,$E$2:$E$201,E7,$AH$2:$AH$201,"Confirmado",$AG$2:$AG$201,"CO/SO₂ simultáneos")=6),"Sí","No"),IF(OR(AND(F7&gt;0,SUMIFS($F$2:$F$201,$E$2:$E$201,E7,$AH$2:$AH$201,"Confirmado")=4),AND(G7&gt;0,SUMIFS($G$2:$G$201,$E$2:$E$201,E7,$AH$2:$AH$201,"Confirmado")=4),AND(H7&gt;0,SUMIFS($H$2:$H$201,$E$2:$E$201,E7,$AH$2:$AH$201,"Confirmado")=4),AND(I7&gt;0,SUMIFS($I$2:$I$201,$E$2:$E$201,E7,$AH$2:$AH$201,"Confirmado")=4)),"Sí","No"))))</f>
        <v/>
      </c>
      <c r="AM7" s="2" t="str">
        <f aca="false">IF(A7="","",IF(AH7&lt;&gt;"Confirmado","",IF(AG7="CO/SO₂ simultáneos",IF(OR(COUNTIFS($E$2:$E$201,E7,$AH$2:$AH$201,"Confirmado",$AG$2:$AG$201,"CO/SO₂ simultáneos")&gt;3,SUMIFS($J$2:$J$201,$E$2:$E$201,E7,$AH$2:$AH$201,"Confirmado",$AG$2:$AG$201,"CO/SO₂ simultáneos")&gt;6),"CAPACIDAD EXCEDIDA","OK"),IF(OR(SUMIFS($F$2:$F$201,$E$2:$E$201,E7,$AH$2:$AH$201,"Confirmado")&gt;4,SUMIFS($G$2:$G$201,$E$2:$E$201,E7,$AH$2:$AH$201,"Confirmado")&gt;4,SUMIFS($H$2:$H$201,$E$2:$E$201,E7,$AH$2:$AH$201,"Confirmado")&gt;4,SUMIFS($I$2:$I$201,$E$2:$E$201,E7,$AH$2:$AH$201,"Confirmado")&gt;4),"CAPACIDAD EXCEDIDA","OK"))))</f>
        <v/>
      </c>
      <c r="AN7" s="2" t="str">
        <f aca="true">IF(A7="","",IF(AND(AC7&lt;1,Q7&lt;TODAY(),AH7="Aceptado pendiente de pago/orden"),"PLAZO VENCIDO",IF(AND(AC7&lt;1,AD7&lt;&gt;"",AD7&lt;TODAY()),"VENCIDO","OK")))</f>
        <v/>
      </c>
      <c r="AO7" s="6"/>
      <c r="AP7" s="8"/>
      <c r="AQ7" s="6"/>
      <c r="AR7" s="6" t="s">
        <v>73</v>
      </c>
      <c r="AS7" s="6"/>
      <c r="AT7" s="6"/>
      <c r="AU7" s="6"/>
      <c r="AV7" s="6"/>
      <c r="AW7" s="8" t="str">
        <f aca="false">IF(AV7="","",AV7+60)</f>
        <v/>
      </c>
      <c r="AX7" s="11" t="str">
        <f aca="true">IF(A7="","",IF(AND(AV7&lt;&gt;"",AW7&lt;TODAY(),OR(AH7="Interés",AH7="Cotizado")),"Sí","No"))</f>
        <v/>
      </c>
      <c r="AY7" s="6"/>
      <c r="AZ7" s="6"/>
      <c r="BA7" s="6"/>
      <c r="BB7" s="6"/>
      <c r="BC7" s="4"/>
      <c r="BD7" s="12"/>
    </row>
    <row r="8" customFormat="false" ht="23.8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2" t="n">
        <f aca="false">SUM(F8:I8)</f>
        <v>0</v>
      </c>
      <c r="K8" s="6"/>
      <c r="L8" s="6"/>
      <c r="M8" s="7"/>
      <c r="N8" s="7"/>
      <c r="O8" s="8"/>
      <c r="P8" s="8"/>
      <c r="Q8" s="8"/>
      <c r="R8" s="8"/>
      <c r="S8" s="8"/>
      <c r="T8" s="6"/>
      <c r="U8" s="6"/>
      <c r="V8" s="6"/>
      <c r="W8" s="6"/>
      <c r="X8" s="8"/>
      <c r="Y8" s="6"/>
      <c r="Z8" s="6"/>
      <c r="AA8" s="7"/>
      <c r="AB8" s="9" t="str">
        <f aca="false">IF(N8="","",MAX(0,N8-AA8))</f>
        <v/>
      </c>
      <c r="AC8" s="10" t="str">
        <f aca="false">IF(N8="","",IF(N8=0,0,AA8/N8))</f>
        <v/>
      </c>
      <c r="AD8" s="8"/>
      <c r="AE8" s="6"/>
      <c r="AF8" s="6"/>
      <c r="AG8" s="6"/>
      <c r="AH8" s="6"/>
      <c r="AI8" s="2" t="str">
        <f aca="false">IF(A8="","",IF(V8="Yes",IF(U8="Yes",1,2),""))</f>
        <v/>
      </c>
      <c r="AJ8" s="8"/>
      <c r="AK8" s="2" t="str">
        <f aca="false">IF(A8="","",IF(AJ8="","",COUNTIFS($E$2:$E$201,E8,$AI$2:$AI$201,AI8,$AJ$2:$AJ$201,"&lt;="&amp;AJ8)))</f>
        <v/>
      </c>
      <c r="AL8" s="2" t="str">
        <f aca="false">IF(A8="","",IF(AH8&lt;&gt;"Confirmado","No",IF(AG8="CO/SO₂ simultáneos",IF(OR(COUNTIFS($E$2:$E$201,E8,$AH$2:$AH$201,"Confirmado",$AG$2:$AG$201,"CO/SO₂ simultáneos")=3,SUMIFS($J$2:$J$201,$E$2:$E$201,E8,$AH$2:$AH$201,"Confirmado",$AG$2:$AG$201,"CO/SO₂ simultáneos")=6),"Sí","No"),IF(OR(AND(F8&gt;0,SUMIFS($F$2:$F$201,$E$2:$E$201,E8,$AH$2:$AH$201,"Confirmado")=4),AND(G8&gt;0,SUMIFS($G$2:$G$201,$E$2:$E$201,E8,$AH$2:$AH$201,"Confirmado")=4),AND(H8&gt;0,SUMIFS($H$2:$H$201,$E$2:$E$201,E8,$AH$2:$AH$201,"Confirmado")=4),AND(I8&gt;0,SUMIFS($I$2:$I$201,$E$2:$E$201,E8,$AH$2:$AH$201,"Confirmado")=4)),"Sí","No"))))</f>
        <v/>
      </c>
      <c r="AM8" s="2" t="str">
        <f aca="false">IF(A8="","",IF(AH8&lt;&gt;"Confirmado","",IF(AG8="CO/SO₂ simultáneos",IF(OR(COUNTIFS($E$2:$E$201,E8,$AH$2:$AH$201,"Confirmado",$AG$2:$AG$201,"CO/SO₂ simultáneos")&gt;3,SUMIFS($J$2:$J$201,$E$2:$E$201,E8,$AH$2:$AH$201,"Confirmado",$AG$2:$AG$201,"CO/SO₂ simultáneos")&gt;6),"CAPACIDAD EXCEDIDA","OK"),IF(OR(SUMIFS($F$2:$F$201,$E$2:$E$201,E8,$AH$2:$AH$201,"Confirmado")&gt;4,SUMIFS($G$2:$G$201,$E$2:$E$201,E8,$AH$2:$AH$201,"Confirmado")&gt;4,SUMIFS($H$2:$H$201,$E$2:$E$201,E8,$AH$2:$AH$201,"Confirmado")&gt;4,SUMIFS($I$2:$I$201,$E$2:$E$201,E8,$AH$2:$AH$201,"Confirmado")&gt;4),"CAPACIDAD EXCEDIDA","OK"))))</f>
        <v/>
      </c>
      <c r="AN8" s="2" t="str">
        <f aca="true">IF(A8="","",IF(AND(AC8&lt;1,Q8&lt;TODAY(),AH8="Aceptado pendiente de pago/orden"),"PLAZO VENCIDO",IF(AND(AC8&lt;1,AD8&lt;&gt;"",AD8&lt;TODAY()),"VENCIDO","OK")))</f>
        <v/>
      </c>
      <c r="AO8" s="6"/>
      <c r="AP8" s="8"/>
      <c r="AQ8" s="6"/>
      <c r="AR8" s="6" t="s">
        <v>73</v>
      </c>
      <c r="AS8" s="6"/>
      <c r="AT8" s="6"/>
      <c r="AU8" s="6"/>
      <c r="AV8" s="6"/>
      <c r="AW8" s="8" t="str">
        <f aca="false">IF(AV8="","",AV8+60)</f>
        <v/>
      </c>
      <c r="AX8" s="11" t="str">
        <f aca="true">IF(A8="","",IF(AND(AV8&lt;&gt;"",AW8&lt;TODAY(),OR(AH8="Interés",AH8="Cotizado")),"Sí","No"))</f>
        <v/>
      </c>
      <c r="AY8" s="6"/>
      <c r="AZ8" s="6"/>
      <c r="BA8" s="6"/>
      <c r="BB8" s="6"/>
      <c r="BC8" s="4"/>
      <c r="BD8" s="12"/>
    </row>
    <row r="9" customFormat="false" ht="23.8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2" t="n">
        <f aca="false">SUM(F9:I9)</f>
        <v>0</v>
      </c>
      <c r="K9" s="6"/>
      <c r="L9" s="6"/>
      <c r="M9" s="7"/>
      <c r="N9" s="7"/>
      <c r="O9" s="8"/>
      <c r="P9" s="8"/>
      <c r="Q9" s="8"/>
      <c r="R9" s="8"/>
      <c r="S9" s="8"/>
      <c r="T9" s="6"/>
      <c r="U9" s="6"/>
      <c r="V9" s="6"/>
      <c r="W9" s="6"/>
      <c r="X9" s="8"/>
      <c r="Y9" s="6"/>
      <c r="Z9" s="6"/>
      <c r="AA9" s="7"/>
      <c r="AB9" s="9" t="str">
        <f aca="false">IF(N9="","",MAX(0,N9-AA9))</f>
        <v/>
      </c>
      <c r="AC9" s="10" t="str">
        <f aca="false">IF(N9="","",IF(N9=0,0,AA9/N9))</f>
        <v/>
      </c>
      <c r="AD9" s="8"/>
      <c r="AE9" s="6"/>
      <c r="AF9" s="6"/>
      <c r="AG9" s="6"/>
      <c r="AH9" s="6"/>
      <c r="AI9" s="2" t="str">
        <f aca="false">IF(A9="","",IF(V9="Yes",IF(U9="Yes",1,2),""))</f>
        <v/>
      </c>
      <c r="AJ9" s="8"/>
      <c r="AK9" s="2" t="str">
        <f aca="false">IF(A9="","",IF(AJ9="","",COUNTIFS($E$2:$E$201,E9,$AI$2:$AI$201,AI9,$AJ$2:$AJ$201,"&lt;="&amp;AJ9)))</f>
        <v/>
      </c>
      <c r="AL9" s="2" t="str">
        <f aca="false">IF(A9="","",IF(AH9&lt;&gt;"Confirmado","No",IF(AG9="CO/SO₂ simultáneos",IF(OR(COUNTIFS($E$2:$E$201,E9,$AH$2:$AH$201,"Confirmado",$AG$2:$AG$201,"CO/SO₂ simultáneos")=3,SUMIFS($J$2:$J$201,$E$2:$E$201,E9,$AH$2:$AH$201,"Confirmado",$AG$2:$AG$201,"CO/SO₂ simultáneos")=6),"Sí","No"),IF(OR(AND(F9&gt;0,SUMIFS($F$2:$F$201,$E$2:$E$201,E9,$AH$2:$AH$201,"Confirmado")=4),AND(G9&gt;0,SUMIFS($G$2:$G$201,$E$2:$E$201,E9,$AH$2:$AH$201,"Confirmado")=4),AND(H9&gt;0,SUMIFS($H$2:$H$201,$E$2:$E$201,E9,$AH$2:$AH$201,"Confirmado")=4),AND(I9&gt;0,SUMIFS($I$2:$I$201,$E$2:$E$201,E9,$AH$2:$AH$201,"Confirmado")=4)),"Sí","No"))))</f>
        <v/>
      </c>
      <c r="AM9" s="2" t="str">
        <f aca="false">IF(A9="","",IF(AH9&lt;&gt;"Confirmado","",IF(AG9="CO/SO₂ simultáneos",IF(OR(COUNTIFS($E$2:$E$201,E9,$AH$2:$AH$201,"Confirmado",$AG$2:$AG$201,"CO/SO₂ simultáneos")&gt;3,SUMIFS($J$2:$J$201,$E$2:$E$201,E9,$AH$2:$AH$201,"Confirmado",$AG$2:$AG$201,"CO/SO₂ simultáneos")&gt;6),"CAPACIDAD EXCEDIDA","OK"),IF(OR(SUMIFS($F$2:$F$201,$E$2:$E$201,E9,$AH$2:$AH$201,"Confirmado")&gt;4,SUMIFS($G$2:$G$201,$E$2:$E$201,E9,$AH$2:$AH$201,"Confirmado")&gt;4,SUMIFS($H$2:$H$201,$E$2:$E$201,E9,$AH$2:$AH$201,"Confirmado")&gt;4,SUMIFS($I$2:$I$201,$E$2:$E$201,E9,$AH$2:$AH$201,"Confirmado")&gt;4),"CAPACIDAD EXCEDIDA","OK"))))</f>
        <v/>
      </c>
      <c r="AN9" s="2" t="str">
        <f aca="true">IF(A9="","",IF(AND(AC9&lt;1,Q9&lt;TODAY(),AH9="Aceptado pendiente de pago/orden"),"PLAZO VENCIDO",IF(AND(AC9&lt;1,AD9&lt;&gt;"",AD9&lt;TODAY()),"VENCIDO","OK")))</f>
        <v/>
      </c>
      <c r="AO9" s="6"/>
      <c r="AP9" s="8"/>
      <c r="AQ9" s="6"/>
      <c r="AR9" s="6" t="s">
        <v>73</v>
      </c>
      <c r="AS9" s="6"/>
      <c r="AT9" s="6"/>
      <c r="AU9" s="6"/>
      <c r="AV9" s="6"/>
      <c r="AW9" s="8" t="str">
        <f aca="false">IF(AV9="","",AV9+60)</f>
        <v/>
      </c>
      <c r="AX9" s="11" t="str">
        <f aca="true">IF(A9="","",IF(AND(AV9&lt;&gt;"",AW9&lt;TODAY(),OR(AH9="Interés",AH9="Cotizado")),"Sí","No"))</f>
        <v/>
      </c>
      <c r="AY9" s="6"/>
      <c r="AZ9" s="6"/>
      <c r="BA9" s="6"/>
      <c r="BB9" s="6"/>
      <c r="BC9" s="4"/>
      <c r="BD9" s="12"/>
    </row>
    <row r="10" customFormat="false" ht="23.8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2" t="n">
        <f aca="false">SUM(F10:I10)</f>
        <v>0</v>
      </c>
      <c r="K10" s="6"/>
      <c r="L10" s="6"/>
      <c r="M10" s="7"/>
      <c r="N10" s="7"/>
      <c r="O10" s="8"/>
      <c r="P10" s="8"/>
      <c r="Q10" s="8"/>
      <c r="R10" s="8"/>
      <c r="S10" s="8"/>
      <c r="T10" s="6"/>
      <c r="U10" s="6"/>
      <c r="V10" s="6"/>
      <c r="W10" s="6"/>
      <c r="X10" s="8"/>
      <c r="Y10" s="6"/>
      <c r="Z10" s="6"/>
      <c r="AA10" s="7"/>
      <c r="AB10" s="9" t="str">
        <f aca="false">IF(N10="","",MAX(0,N10-AA10))</f>
        <v/>
      </c>
      <c r="AC10" s="10" t="str">
        <f aca="false">IF(N10="","",IF(N10=0,0,AA10/N10))</f>
        <v/>
      </c>
      <c r="AD10" s="8"/>
      <c r="AE10" s="6"/>
      <c r="AF10" s="6"/>
      <c r="AG10" s="6"/>
      <c r="AH10" s="6"/>
      <c r="AI10" s="2" t="str">
        <f aca="false">IF(A10="","",IF(V10="Yes",IF(U10="Yes",1,2),""))</f>
        <v/>
      </c>
      <c r="AJ10" s="8"/>
      <c r="AK10" s="2" t="str">
        <f aca="false">IF(A10="","",IF(AJ10="","",COUNTIFS($E$2:$E$201,E10,$AI$2:$AI$201,AI10,$AJ$2:$AJ$201,"&lt;="&amp;AJ10)))</f>
        <v/>
      </c>
      <c r="AL10" s="2" t="str">
        <f aca="false">IF(A10="","",IF(AH10&lt;&gt;"Confirmado","No",IF(AG10="CO/SO₂ simultáneos",IF(OR(COUNTIFS($E$2:$E$201,E10,$AH$2:$AH$201,"Confirmado",$AG$2:$AG$201,"CO/SO₂ simultáneos")=3,SUMIFS($J$2:$J$201,$E$2:$E$201,E10,$AH$2:$AH$201,"Confirmado",$AG$2:$AG$201,"CO/SO₂ simultáneos")=6),"Sí","No"),IF(OR(AND(F10&gt;0,SUMIFS($F$2:$F$201,$E$2:$E$201,E10,$AH$2:$AH$201,"Confirmado")=4),AND(G10&gt;0,SUMIFS($G$2:$G$201,$E$2:$E$201,E10,$AH$2:$AH$201,"Confirmado")=4),AND(H10&gt;0,SUMIFS($H$2:$H$201,$E$2:$E$201,E10,$AH$2:$AH$201,"Confirmado")=4),AND(I10&gt;0,SUMIFS($I$2:$I$201,$E$2:$E$201,E10,$AH$2:$AH$201,"Confirmado")=4)),"Sí","No"))))</f>
        <v/>
      </c>
      <c r="AM10" s="2" t="str">
        <f aca="false">IF(A10="","",IF(AH10&lt;&gt;"Confirmado","",IF(AG10="CO/SO₂ simultáneos",IF(OR(COUNTIFS($E$2:$E$201,E10,$AH$2:$AH$201,"Confirmado",$AG$2:$AG$201,"CO/SO₂ simultáneos")&gt;3,SUMIFS($J$2:$J$201,$E$2:$E$201,E10,$AH$2:$AH$201,"Confirmado",$AG$2:$AG$201,"CO/SO₂ simultáneos")&gt;6),"CAPACIDAD EXCEDIDA","OK"),IF(OR(SUMIFS($F$2:$F$201,$E$2:$E$201,E10,$AH$2:$AH$201,"Confirmado")&gt;4,SUMIFS($G$2:$G$201,$E$2:$E$201,E10,$AH$2:$AH$201,"Confirmado")&gt;4,SUMIFS($H$2:$H$201,$E$2:$E$201,E10,$AH$2:$AH$201,"Confirmado")&gt;4,SUMIFS($I$2:$I$201,$E$2:$E$201,E10,$AH$2:$AH$201,"Confirmado")&gt;4),"CAPACIDAD EXCEDIDA","OK"))))</f>
        <v/>
      </c>
      <c r="AN10" s="2" t="str">
        <f aca="true">IF(A10="","",IF(AND(AC10&lt;1,Q10&lt;TODAY(),AH10="Aceptado pendiente de pago/orden"),"PLAZO VENCIDO",IF(AND(AC10&lt;1,AD10&lt;&gt;"",AD10&lt;TODAY()),"VENCIDO","OK")))</f>
        <v/>
      </c>
      <c r="AO10" s="6"/>
      <c r="AP10" s="8"/>
      <c r="AQ10" s="6"/>
      <c r="AR10" s="6" t="s">
        <v>73</v>
      </c>
      <c r="AS10" s="6"/>
      <c r="AT10" s="6"/>
      <c r="AU10" s="6"/>
      <c r="AV10" s="6"/>
      <c r="AW10" s="8" t="str">
        <f aca="false">IF(AV10="","",AV10+60)</f>
        <v/>
      </c>
      <c r="AX10" s="11" t="str">
        <f aca="true">IF(A10="","",IF(AND(AV10&lt;&gt;"",AW10&lt;TODAY(),OR(AH10="Interés",AH10="Cotizado")),"Sí","No"))</f>
        <v/>
      </c>
      <c r="AY10" s="6"/>
      <c r="AZ10" s="6"/>
      <c r="BA10" s="6"/>
      <c r="BB10" s="6"/>
      <c r="BC10" s="4"/>
      <c r="BD10" s="12"/>
    </row>
    <row r="11" customFormat="false" ht="23.8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2" t="n">
        <f aca="false">SUM(F11:I11)</f>
        <v>0</v>
      </c>
      <c r="K11" s="6"/>
      <c r="L11" s="6"/>
      <c r="M11" s="7"/>
      <c r="N11" s="7"/>
      <c r="O11" s="8"/>
      <c r="P11" s="8"/>
      <c r="Q11" s="8"/>
      <c r="R11" s="8"/>
      <c r="S11" s="8"/>
      <c r="T11" s="6"/>
      <c r="U11" s="6"/>
      <c r="V11" s="6"/>
      <c r="W11" s="6"/>
      <c r="X11" s="8"/>
      <c r="Y11" s="6"/>
      <c r="Z11" s="6"/>
      <c r="AA11" s="7"/>
      <c r="AB11" s="9" t="str">
        <f aca="false">IF(N11="","",MAX(0,N11-AA11))</f>
        <v/>
      </c>
      <c r="AC11" s="10" t="str">
        <f aca="false">IF(N11="","",IF(N11=0,0,AA11/N11))</f>
        <v/>
      </c>
      <c r="AD11" s="8"/>
      <c r="AE11" s="6"/>
      <c r="AF11" s="6"/>
      <c r="AG11" s="6"/>
      <c r="AH11" s="6"/>
      <c r="AI11" s="2" t="str">
        <f aca="false">IF(A11="","",IF(V11="Yes",IF(U11="Yes",1,2),""))</f>
        <v/>
      </c>
      <c r="AJ11" s="8"/>
      <c r="AK11" s="2" t="str">
        <f aca="false">IF(A11="","",IF(AJ11="","",COUNTIFS($E$2:$E$201,E11,$AI$2:$AI$201,AI11,$AJ$2:$AJ$201,"&lt;="&amp;AJ11)))</f>
        <v/>
      </c>
      <c r="AL11" s="2" t="str">
        <f aca="false">IF(A11="","",IF(AH11&lt;&gt;"Confirmado","No",IF(AG11="CO/SO₂ simultáneos",IF(OR(COUNTIFS($E$2:$E$201,E11,$AH$2:$AH$201,"Confirmado",$AG$2:$AG$201,"CO/SO₂ simultáneos")=3,SUMIFS($J$2:$J$201,$E$2:$E$201,E11,$AH$2:$AH$201,"Confirmado",$AG$2:$AG$201,"CO/SO₂ simultáneos")=6),"Sí","No"),IF(OR(AND(F11&gt;0,SUMIFS($F$2:$F$201,$E$2:$E$201,E11,$AH$2:$AH$201,"Confirmado")=4),AND(G11&gt;0,SUMIFS($G$2:$G$201,$E$2:$E$201,E11,$AH$2:$AH$201,"Confirmado")=4),AND(H11&gt;0,SUMIFS($H$2:$H$201,$E$2:$E$201,E11,$AH$2:$AH$201,"Confirmado")=4),AND(I11&gt;0,SUMIFS($I$2:$I$201,$E$2:$E$201,E11,$AH$2:$AH$201,"Confirmado")=4)),"Sí","No"))))</f>
        <v/>
      </c>
      <c r="AM11" s="2" t="str">
        <f aca="false">IF(A11="","",IF(AH11&lt;&gt;"Confirmado","",IF(AG11="CO/SO₂ simultáneos",IF(OR(COUNTIFS($E$2:$E$201,E11,$AH$2:$AH$201,"Confirmado",$AG$2:$AG$201,"CO/SO₂ simultáneos")&gt;3,SUMIFS($J$2:$J$201,$E$2:$E$201,E11,$AH$2:$AH$201,"Confirmado",$AG$2:$AG$201,"CO/SO₂ simultáneos")&gt;6),"CAPACIDAD EXCEDIDA","OK"),IF(OR(SUMIFS($F$2:$F$201,$E$2:$E$201,E11,$AH$2:$AH$201,"Confirmado")&gt;4,SUMIFS($G$2:$G$201,$E$2:$E$201,E11,$AH$2:$AH$201,"Confirmado")&gt;4,SUMIFS($H$2:$H$201,$E$2:$E$201,E11,$AH$2:$AH$201,"Confirmado")&gt;4,SUMIFS($I$2:$I$201,$E$2:$E$201,E11,$AH$2:$AH$201,"Confirmado")&gt;4),"CAPACIDAD EXCEDIDA","OK"))))</f>
        <v/>
      </c>
      <c r="AN11" s="2" t="str">
        <f aca="true">IF(A11="","",IF(AND(AC11&lt;1,Q11&lt;TODAY(),AH11="Aceptado pendiente de pago/orden"),"PLAZO VENCIDO",IF(AND(AC11&lt;1,AD11&lt;&gt;"",AD11&lt;TODAY()),"VENCIDO","OK")))</f>
        <v/>
      </c>
      <c r="AO11" s="6"/>
      <c r="AP11" s="8"/>
      <c r="AQ11" s="6"/>
      <c r="AR11" s="6" t="s">
        <v>73</v>
      </c>
      <c r="AS11" s="6"/>
      <c r="AT11" s="6"/>
      <c r="AU11" s="6"/>
      <c r="AV11" s="6"/>
      <c r="AW11" s="8" t="str">
        <f aca="false">IF(AV11="","",AV11+60)</f>
        <v/>
      </c>
      <c r="AX11" s="11" t="str">
        <f aca="true">IF(A11="","",IF(AND(AV11&lt;&gt;"",AW11&lt;TODAY(),OR(AH11="Interés",AH11="Cotizado")),"Sí","No"))</f>
        <v/>
      </c>
      <c r="AY11" s="6"/>
      <c r="AZ11" s="6"/>
      <c r="BA11" s="6"/>
      <c r="BB11" s="6"/>
      <c r="BC11" s="4"/>
      <c r="BD11" s="12"/>
    </row>
    <row r="12" customFormat="false" ht="23.8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2" t="n">
        <f aca="false">SUM(F12:I12)</f>
        <v>0</v>
      </c>
      <c r="K12" s="6"/>
      <c r="L12" s="6"/>
      <c r="M12" s="7"/>
      <c r="N12" s="7"/>
      <c r="O12" s="8"/>
      <c r="P12" s="8"/>
      <c r="Q12" s="8"/>
      <c r="R12" s="8"/>
      <c r="S12" s="8"/>
      <c r="T12" s="6"/>
      <c r="U12" s="6"/>
      <c r="V12" s="6"/>
      <c r="W12" s="6"/>
      <c r="X12" s="8"/>
      <c r="Y12" s="6"/>
      <c r="Z12" s="6"/>
      <c r="AA12" s="7"/>
      <c r="AB12" s="9" t="str">
        <f aca="false">IF(N12="","",MAX(0,N12-AA12))</f>
        <v/>
      </c>
      <c r="AC12" s="10" t="str">
        <f aca="false">IF(N12="","",IF(N12=0,0,AA12/N12))</f>
        <v/>
      </c>
      <c r="AD12" s="8"/>
      <c r="AE12" s="6"/>
      <c r="AF12" s="6"/>
      <c r="AG12" s="6"/>
      <c r="AH12" s="6"/>
      <c r="AI12" s="2" t="str">
        <f aca="false">IF(A12="","",IF(V12="Yes",IF(U12="Yes",1,2),""))</f>
        <v/>
      </c>
      <c r="AJ12" s="8"/>
      <c r="AK12" s="2" t="str">
        <f aca="false">IF(A12="","",IF(AJ12="","",COUNTIFS($E$2:$E$201,E12,$AI$2:$AI$201,AI12,$AJ$2:$AJ$201,"&lt;="&amp;AJ12)))</f>
        <v/>
      </c>
      <c r="AL12" s="2" t="str">
        <f aca="false">IF(A12="","",IF(AH12&lt;&gt;"Confirmado","No",IF(AG12="CO/SO₂ simultáneos",IF(OR(COUNTIFS($E$2:$E$201,E12,$AH$2:$AH$201,"Confirmado",$AG$2:$AG$201,"CO/SO₂ simultáneos")=3,SUMIFS($J$2:$J$201,$E$2:$E$201,E12,$AH$2:$AH$201,"Confirmado",$AG$2:$AG$201,"CO/SO₂ simultáneos")=6),"Sí","No"),IF(OR(AND(F12&gt;0,SUMIFS($F$2:$F$201,$E$2:$E$201,E12,$AH$2:$AH$201,"Confirmado")=4),AND(G12&gt;0,SUMIFS($G$2:$G$201,$E$2:$E$201,E12,$AH$2:$AH$201,"Confirmado")=4),AND(H12&gt;0,SUMIFS($H$2:$H$201,$E$2:$E$201,E12,$AH$2:$AH$201,"Confirmado")=4),AND(I12&gt;0,SUMIFS($I$2:$I$201,$E$2:$E$201,E12,$AH$2:$AH$201,"Confirmado")=4)),"Sí","No"))))</f>
        <v/>
      </c>
      <c r="AM12" s="2" t="str">
        <f aca="false">IF(A12="","",IF(AH12&lt;&gt;"Confirmado","",IF(AG12="CO/SO₂ simultáneos",IF(OR(COUNTIFS($E$2:$E$201,E12,$AH$2:$AH$201,"Confirmado",$AG$2:$AG$201,"CO/SO₂ simultáneos")&gt;3,SUMIFS($J$2:$J$201,$E$2:$E$201,E12,$AH$2:$AH$201,"Confirmado",$AG$2:$AG$201,"CO/SO₂ simultáneos")&gt;6),"CAPACIDAD EXCEDIDA","OK"),IF(OR(SUMIFS($F$2:$F$201,$E$2:$E$201,E12,$AH$2:$AH$201,"Confirmado")&gt;4,SUMIFS($G$2:$G$201,$E$2:$E$201,E12,$AH$2:$AH$201,"Confirmado")&gt;4,SUMIFS($H$2:$H$201,$E$2:$E$201,E12,$AH$2:$AH$201,"Confirmado")&gt;4,SUMIFS($I$2:$I$201,$E$2:$E$201,E12,$AH$2:$AH$201,"Confirmado")&gt;4),"CAPACIDAD EXCEDIDA","OK"))))</f>
        <v/>
      </c>
      <c r="AN12" s="2" t="str">
        <f aca="true">IF(A12="","",IF(AND(AC12&lt;1,Q12&lt;TODAY(),AH12="Aceptado pendiente de pago/orden"),"PLAZO VENCIDO",IF(AND(AC12&lt;1,AD12&lt;&gt;"",AD12&lt;TODAY()),"VENCIDO","OK")))</f>
        <v/>
      </c>
      <c r="AO12" s="6"/>
      <c r="AP12" s="8"/>
      <c r="AQ12" s="6"/>
      <c r="AR12" s="6" t="s">
        <v>73</v>
      </c>
      <c r="AS12" s="6"/>
      <c r="AT12" s="6"/>
      <c r="AU12" s="6"/>
      <c r="AV12" s="6"/>
      <c r="AW12" s="8" t="str">
        <f aca="false">IF(AV12="","",AV12+60)</f>
        <v/>
      </c>
      <c r="AX12" s="11" t="str">
        <f aca="true">IF(A12="","",IF(AND(AV12&lt;&gt;"",AW12&lt;TODAY(),OR(AH12="Interés",AH12="Cotizado")),"Sí","No"))</f>
        <v/>
      </c>
      <c r="AY12" s="6"/>
      <c r="AZ12" s="6"/>
      <c r="BA12" s="6"/>
      <c r="BB12" s="6"/>
      <c r="BC12" s="4"/>
      <c r="BD12" s="12"/>
    </row>
    <row r="13" customFormat="false" ht="23.8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2" t="n">
        <f aca="false">SUM(F13:I13)</f>
        <v>0</v>
      </c>
      <c r="K13" s="6"/>
      <c r="L13" s="6"/>
      <c r="M13" s="7"/>
      <c r="N13" s="7"/>
      <c r="O13" s="8"/>
      <c r="P13" s="8"/>
      <c r="Q13" s="8"/>
      <c r="R13" s="8"/>
      <c r="S13" s="8"/>
      <c r="T13" s="6"/>
      <c r="U13" s="6"/>
      <c r="V13" s="6"/>
      <c r="W13" s="6"/>
      <c r="X13" s="8"/>
      <c r="Y13" s="6"/>
      <c r="Z13" s="6"/>
      <c r="AA13" s="7"/>
      <c r="AB13" s="9" t="str">
        <f aca="false">IF(N13="","",MAX(0,N13-AA13))</f>
        <v/>
      </c>
      <c r="AC13" s="10" t="str">
        <f aca="false">IF(N13="","",IF(N13=0,0,AA13/N13))</f>
        <v/>
      </c>
      <c r="AD13" s="8"/>
      <c r="AE13" s="6"/>
      <c r="AF13" s="6"/>
      <c r="AG13" s="6"/>
      <c r="AH13" s="6"/>
      <c r="AI13" s="2" t="str">
        <f aca="false">IF(A13="","",IF(V13="Yes",IF(U13="Yes",1,2),""))</f>
        <v/>
      </c>
      <c r="AJ13" s="8"/>
      <c r="AK13" s="2" t="str">
        <f aca="false">IF(A13="","",IF(AJ13="","",COUNTIFS($E$2:$E$201,E13,$AI$2:$AI$201,AI13,$AJ$2:$AJ$201,"&lt;="&amp;AJ13)))</f>
        <v/>
      </c>
      <c r="AL13" s="2" t="str">
        <f aca="false">IF(A13="","",IF(AH13&lt;&gt;"Confirmado","No",IF(AG13="CO/SO₂ simultáneos",IF(OR(COUNTIFS($E$2:$E$201,E13,$AH$2:$AH$201,"Confirmado",$AG$2:$AG$201,"CO/SO₂ simultáneos")=3,SUMIFS($J$2:$J$201,$E$2:$E$201,E13,$AH$2:$AH$201,"Confirmado",$AG$2:$AG$201,"CO/SO₂ simultáneos")=6),"Sí","No"),IF(OR(AND(F13&gt;0,SUMIFS($F$2:$F$201,$E$2:$E$201,E13,$AH$2:$AH$201,"Confirmado")=4),AND(G13&gt;0,SUMIFS($G$2:$G$201,$E$2:$E$201,E13,$AH$2:$AH$201,"Confirmado")=4),AND(H13&gt;0,SUMIFS($H$2:$H$201,$E$2:$E$201,E13,$AH$2:$AH$201,"Confirmado")=4),AND(I13&gt;0,SUMIFS($I$2:$I$201,$E$2:$E$201,E13,$AH$2:$AH$201,"Confirmado")=4)),"Sí","No"))))</f>
        <v/>
      </c>
      <c r="AM13" s="2" t="str">
        <f aca="false">IF(A13="","",IF(AH13&lt;&gt;"Confirmado","",IF(AG13="CO/SO₂ simultáneos",IF(OR(COUNTIFS($E$2:$E$201,E13,$AH$2:$AH$201,"Confirmado",$AG$2:$AG$201,"CO/SO₂ simultáneos")&gt;3,SUMIFS($J$2:$J$201,$E$2:$E$201,E13,$AH$2:$AH$201,"Confirmado",$AG$2:$AG$201,"CO/SO₂ simultáneos")&gt;6),"CAPACIDAD EXCEDIDA","OK"),IF(OR(SUMIFS($F$2:$F$201,$E$2:$E$201,E13,$AH$2:$AH$201,"Confirmado")&gt;4,SUMIFS($G$2:$G$201,$E$2:$E$201,E13,$AH$2:$AH$201,"Confirmado")&gt;4,SUMIFS($H$2:$H$201,$E$2:$E$201,E13,$AH$2:$AH$201,"Confirmado")&gt;4,SUMIFS($I$2:$I$201,$E$2:$E$201,E13,$AH$2:$AH$201,"Confirmado")&gt;4),"CAPACIDAD EXCEDIDA","OK"))))</f>
        <v/>
      </c>
      <c r="AN13" s="2" t="str">
        <f aca="true">IF(A13="","",IF(AND(AC13&lt;1,Q13&lt;TODAY(),AH13="Aceptado pendiente de pago/orden"),"PLAZO VENCIDO",IF(AND(AC13&lt;1,AD13&lt;&gt;"",AD13&lt;TODAY()),"VENCIDO","OK")))</f>
        <v/>
      </c>
      <c r="AO13" s="6"/>
      <c r="AP13" s="8"/>
      <c r="AQ13" s="6"/>
      <c r="AR13" s="6" t="s">
        <v>73</v>
      </c>
      <c r="AS13" s="6"/>
      <c r="AT13" s="6"/>
      <c r="AU13" s="6"/>
      <c r="AV13" s="6"/>
      <c r="AW13" s="8" t="str">
        <f aca="false">IF(AV13="","",AV13+60)</f>
        <v/>
      </c>
      <c r="AX13" s="11" t="str">
        <f aca="true">IF(A13="","",IF(AND(AV13&lt;&gt;"",AW13&lt;TODAY(),OR(AH13="Interés",AH13="Cotizado")),"Sí","No"))</f>
        <v/>
      </c>
      <c r="AY13" s="6"/>
      <c r="AZ13" s="6"/>
      <c r="BA13" s="6"/>
      <c r="BB13" s="6"/>
      <c r="BC13" s="4"/>
      <c r="BD13" s="12"/>
    </row>
    <row r="14" customFormat="false" ht="23.8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2" t="n">
        <f aca="false">SUM(F14:I14)</f>
        <v>0</v>
      </c>
      <c r="K14" s="6"/>
      <c r="L14" s="6"/>
      <c r="M14" s="7"/>
      <c r="N14" s="7"/>
      <c r="O14" s="8"/>
      <c r="P14" s="8"/>
      <c r="Q14" s="8"/>
      <c r="R14" s="8"/>
      <c r="S14" s="8"/>
      <c r="T14" s="6"/>
      <c r="U14" s="6"/>
      <c r="V14" s="6"/>
      <c r="W14" s="6"/>
      <c r="X14" s="8"/>
      <c r="Y14" s="6"/>
      <c r="Z14" s="6"/>
      <c r="AA14" s="7"/>
      <c r="AB14" s="9" t="str">
        <f aca="false">IF(N14="","",MAX(0,N14-AA14))</f>
        <v/>
      </c>
      <c r="AC14" s="10" t="str">
        <f aca="false">IF(N14="","",IF(N14=0,0,AA14/N14))</f>
        <v/>
      </c>
      <c r="AD14" s="8"/>
      <c r="AE14" s="6"/>
      <c r="AF14" s="6"/>
      <c r="AG14" s="6"/>
      <c r="AH14" s="6"/>
      <c r="AI14" s="2" t="str">
        <f aca="false">IF(A14="","",IF(V14="Yes",IF(U14="Yes",1,2),""))</f>
        <v/>
      </c>
      <c r="AJ14" s="8"/>
      <c r="AK14" s="2" t="str">
        <f aca="false">IF(A14="","",IF(AJ14="","",COUNTIFS($E$2:$E$201,E14,$AI$2:$AI$201,AI14,$AJ$2:$AJ$201,"&lt;="&amp;AJ14)))</f>
        <v/>
      </c>
      <c r="AL14" s="2" t="str">
        <f aca="false">IF(A14="","",IF(AH14&lt;&gt;"Confirmado","No",IF(AG14="CO/SO₂ simultáneos",IF(OR(COUNTIFS($E$2:$E$201,E14,$AH$2:$AH$201,"Confirmado",$AG$2:$AG$201,"CO/SO₂ simultáneos")=3,SUMIFS($J$2:$J$201,$E$2:$E$201,E14,$AH$2:$AH$201,"Confirmado",$AG$2:$AG$201,"CO/SO₂ simultáneos")=6),"Sí","No"),IF(OR(AND(F14&gt;0,SUMIFS($F$2:$F$201,$E$2:$E$201,E14,$AH$2:$AH$201,"Confirmado")=4),AND(G14&gt;0,SUMIFS($G$2:$G$201,$E$2:$E$201,E14,$AH$2:$AH$201,"Confirmado")=4),AND(H14&gt;0,SUMIFS($H$2:$H$201,$E$2:$E$201,E14,$AH$2:$AH$201,"Confirmado")=4),AND(I14&gt;0,SUMIFS($I$2:$I$201,$E$2:$E$201,E14,$AH$2:$AH$201,"Confirmado")=4)),"Sí","No"))))</f>
        <v/>
      </c>
      <c r="AM14" s="2" t="str">
        <f aca="false">IF(A14="","",IF(AH14&lt;&gt;"Confirmado","",IF(AG14="CO/SO₂ simultáneos",IF(OR(COUNTIFS($E$2:$E$201,E14,$AH$2:$AH$201,"Confirmado",$AG$2:$AG$201,"CO/SO₂ simultáneos")&gt;3,SUMIFS($J$2:$J$201,$E$2:$E$201,E14,$AH$2:$AH$201,"Confirmado",$AG$2:$AG$201,"CO/SO₂ simultáneos")&gt;6),"CAPACIDAD EXCEDIDA","OK"),IF(OR(SUMIFS($F$2:$F$201,$E$2:$E$201,E14,$AH$2:$AH$201,"Confirmado")&gt;4,SUMIFS($G$2:$G$201,$E$2:$E$201,E14,$AH$2:$AH$201,"Confirmado")&gt;4,SUMIFS($H$2:$H$201,$E$2:$E$201,E14,$AH$2:$AH$201,"Confirmado")&gt;4,SUMIFS($I$2:$I$201,$E$2:$E$201,E14,$AH$2:$AH$201,"Confirmado")&gt;4),"CAPACIDAD EXCEDIDA","OK"))))</f>
        <v/>
      </c>
      <c r="AN14" s="2" t="str">
        <f aca="true">IF(A14="","",IF(AND(AC14&lt;1,Q14&lt;TODAY(),AH14="Aceptado pendiente de pago/orden"),"PLAZO VENCIDO",IF(AND(AC14&lt;1,AD14&lt;&gt;"",AD14&lt;TODAY()),"VENCIDO","OK")))</f>
        <v/>
      </c>
      <c r="AO14" s="6"/>
      <c r="AP14" s="8"/>
      <c r="AQ14" s="6"/>
      <c r="AR14" s="6" t="s">
        <v>73</v>
      </c>
      <c r="AS14" s="6"/>
      <c r="AT14" s="6"/>
      <c r="AU14" s="6"/>
      <c r="AV14" s="6"/>
      <c r="AW14" s="8" t="str">
        <f aca="false">IF(AV14="","",AV14+60)</f>
        <v/>
      </c>
      <c r="AX14" s="11" t="str">
        <f aca="true">IF(A14="","",IF(AND(AV14&lt;&gt;"",AW14&lt;TODAY(),OR(AH14="Interés",AH14="Cotizado")),"Sí","No"))</f>
        <v/>
      </c>
      <c r="AY14" s="6"/>
      <c r="AZ14" s="6"/>
      <c r="BA14" s="6"/>
      <c r="BB14" s="6"/>
      <c r="BC14" s="4"/>
      <c r="BD14" s="12"/>
    </row>
    <row r="15" customFormat="false" ht="23.8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2" t="n">
        <f aca="false">SUM(F15:I15)</f>
        <v>0</v>
      </c>
      <c r="K15" s="6"/>
      <c r="L15" s="6"/>
      <c r="M15" s="7"/>
      <c r="N15" s="7"/>
      <c r="O15" s="8"/>
      <c r="P15" s="8"/>
      <c r="Q15" s="8"/>
      <c r="R15" s="8"/>
      <c r="S15" s="8"/>
      <c r="T15" s="6"/>
      <c r="U15" s="6"/>
      <c r="V15" s="6"/>
      <c r="W15" s="6"/>
      <c r="X15" s="8"/>
      <c r="Y15" s="6"/>
      <c r="Z15" s="6"/>
      <c r="AA15" s="7"/>
      <c r="AB15" s="9" t="str">
        <f aca="false">IF(N15="","",MAX(0,N15-AA15))</f>
        <v/>
      </c>
      <c r="AC15" s="10" t="str">
        <f aca="false">IF(N15="","",IF(N15=0,0,AA15/N15))</f>
        <v/>
      </c>
      <c r="AD15" s="8"/>
      <c r="AE15" s="6"/>
      <c r="AF15" s="6"/>
      <c r="AG15" s="6"/>
      <c r="AH15" s="6"/>
      <c r="AI15" s="2" t="str">
        <f aca="false">IF(A15="","",IF(V15="Yes",IF(U15="Yes",1,2),""))</f>
        <v/>
      </c>
      <c r="AJ15" s="8"/>
      <c r="AK15" s="2" t="str">
        <f aca="false">IF(A15="","",IF(AJ15="","",COUNTIFS($E$2:$E$201,E15,$AI$2:$AI$201,AI15,$AJ$2:$AJ$201,"&lt;="&amp;AJ15)))</f>
        <v/>
      </c>
      <c r="AL15" s="2" t="str">
        <f aca="false">IF(A15="","",IF(AH15&lt;&gt;"Confirmado","No",IF(AG15="CO/SO₂ simultáneos",IF(OR(COUNTIFS($E$2:$E$201,E15,$AH$2:$AH$201,"Confirmado",$AG$2:$AG$201,"CO/SO₂ simultáneos")=3,SUMIFS($J$2:$J$201,$E$2:$E$201,E15,$AH$2:$AH$201,"Confirmado",$AG$2:$AG$201,"CO/SO₂ simultáneos")=6),"Sí","No"),IF(OR(AND(F15&gt;0,SUMIFS($F$2:$F$201,$E$2:$E$201,E15,$AH$2:$AH$201,"Confirmado")=4),AND(G15&gt;0,SUMIFS($G$2:$G$201,$E$2:$E$201,E15,$AH$2:$AH$201,"Confirmado")=4),AND(H15&gt;0,SUMIFS($H$2:$H$201,$E$2:$E$201,E15,$AH$2:$AH$201,"Confirmado")=4),AND(I15&gt;0,SUMIFS($I$2:$I$201,$E$2:$E$201,E15,$AH$2:$AH$201,"Confirmado")=4)),"Sí","No"))))</f>
        <v/>
      </c>
      <c r="AM15" s="2" t="str">
        <f aca="false">IF(A15="","",IF(AH15&lt;&gt;"Confirmado","",IF(AG15="CO/SO₂ simultáneos",IF(OR(COUNTIFS($E$2:$E$201,E15,$AH$2:$AH$201,"Confirmado",$AG$2:$AG$201,"CO/SO₂ simultáneos")&gt;3,SUMIFS($J$2:$J$201,$E$2:$E$201,E15,$AH$2:$AH$201,"Confirmado",$AG$2:$AG$201,"CO/SO₂ simultáneos")&gt;6),"CAPACIDAD EXCEDIDA","OK"),IF(OR(SUMIFS($F$2:$F$201,$E$2:$E$201,E15,$AH$2:$AH$201,"Confirmado")&gt;4,SUMIFS($G$2:$G$201,$E$2:$E$201,E15,$AH$2:$AH$201,"Confirmado")&gt;4,SUMIFS($H$2:$H$201,$E$2:$E$201,E15,$AH$2:$AH$201,"Confirmado")&gt;4,SUMIFS($I$2:$I$201,$E$2:$E$201,E15,$AH$2:$AH$201,"Confirmado")&gt;4),"CAPACIDAD EXCEDIDA","OK"))))</f>
        <v/>
      </c>
      <c r="AN15" s="2" t="str">
        <f aca="true">IF(A15="","",IF(AND(AC15&lt;1,Q15&lt;TODAY(),AH15="Aceptado pendiente de pago/orden"),"PLAZO VENCIDO",IF(AND(AC15&lt;1,AD15&lt;&gt;"",AD15&lt;TODAY()),"VENCIDO","OK")))</f>
        <v/>
      </c>
      <c r="AO15" s="6"/>
      <c r="AP15" s="8"/>
      <c r="AQ15" s="6"/>
      <c r="AR15" s="6" t="s">
        <v>73</v>
      </c>
      <c r="AS15" s="6"/>
      <c r="AT15" s="6"/>
      <c r="AU15" s="6"/>
      <c r="AV15" s="6"/>
      <c r="AW15" s="8" t="str">
        <f aca="false">IF(AV15="","",AV15+60)</f>
        <v/>
      </c>
      <c r="AX15" s="11" t="str">
        <f aca="true">IF(A15="","",IF(AND(AV15&lt;&gt;"",AW15&lt;TODAY(),OR(AH15="Interés",AH15="Cotizado")),"Sí","No"))</f>
        <v/>
      </c>
      <c r="AY15" s="6"/>
      <c r="AZ15" s="6"/>
      <c r="BA15" s="6"/>
      <c r="BB15" s="6"/>
      <c r="BC15" s="4"/>
      <c r="BD15" s="12"/>
    </row>
    <row r="16" customFormat="false" ht="23.8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2" t="n">
        <f aca="false">SUM(F16:I16)</f>
        <v>0</v>
      </c>
      <c r="K16" s="6"/>
      <c r="L16" s="6"/>
      <c r="M16" s="7"/>
      <c r="N16" s="7"/>
      <c r="O16" s="8"/>
      <c r="P16" s="8"/>
      <c r="Q16" s="8"/>
      <c r="R16" s="8"/>
      <c r="S16" s="8"/>
      <c r="T16" s="6"/>
      <c r="U16" s="6"/>
      <c r="V16" s="6"/>
      <c r="W16" s="6"/>
      <c r="X16" s="8"/>
      <c r="Y16" s="6"/>
      <c r="Z16" s="6"/>
      <c r="AA16" s="7"/>
      <c r="AB16" s="9" t="str">
        <f aca="false">IF(N16="","",MAX(0,N16-AA16))</f>
        <v/>
      </c>
      <c r="AC16" s="10" t="str">
        <f aca="false">IF(N16="","",IF(N16=0,0,AA16/N16))</f>
        <v/>
      </c>
      <c r="AD16" s="8"/>
      <c r="AE16" s="6"/>
      <c r="AF16" s="6"/>
      <c r="AG16" s="6"/>
      <c r="AH16" s="6"/>
      <c r="AI16" s="2" t="str">
        <f aca="false">IF(A16="","",IF(V16="Yes",IF(U16="Yes",1,2),""))</f>
        <v/>
      </c>
      <c r="AJ16" s="8"/>
      <c r="AK16" s="2" t="str">
        <f aca="false">IF(A16="","",IF(AJ16="","",COUNTIFS($E$2:$E$201,E16,$AI$2:$AI$201,AI16,$AJ$2:$AJ$201,"&lt;="&amp;AJ16)))</f>
        <v/>
      </c>
      <c r="AL16" s="2" t="str">
        <f aca="false">IF(A16="","",IF(AH16&lt;&gt;"Confirmado","No",IF(AG16="CO/SO₂ simultáneos",IF(OR(COUNTIFS($E$2:$E$201,E16,$AH$2:$AH$201,"Confirmado",$AG$2:$AG$201,"CO/SO₂ simultáneos")=3,SUMIFS($J$2:$J$201,$E$2:$E$201,E16,$AH$2:$AH$201,"Confirmado",$AG$2:$AG$201,"CO/SO₂ simultáneos")=6),"Sí","No"),IF(OR(AND(F16&gt;0,SUMIFS($F$2:$F$201,$E$2:$E$201,E16,$AH$2:$AH$201,"Confirmado")=4),AND(G16&gt;0,SUMIFS($G$2:$G$201,$E$2:$E$201,E16,$AH$2:$AH$201,"Confirmado")=4),AND(H16&gt;0,SUMIFS($H$2:$H$201,$E$2:$E$201,E16,$AH$2:$AH$201,"Confirmado")=4),AND(I16&gt;0,SUMIFS($I$2:$I$201,$E$2:$E$201,E16,$AH$2:$AH$201,"Confirmado")=4)),"Sí","No"))))</f>
        <v/>
      </c>
      <c r="AM16" s="2" t="str">
        <f aca="false">IF(A16="","",IF(AH16&lt;&gt;"Confirmado","",IF(AG16="CO/SO₂ simultáneos",IF(OR(COUNTIFS($E$2:$E$201,E16,$AH$2:$AH$201,"Confirmado",$AG$2:$AG$201,"CO/SO₂ simultáneos")&gt;3,SUMIFS($J$2:$J$201,$E$2:$E$201,E16,$AH$2:$AH$201,"Confirmado",$AG$2:$AG$201,"CO/SO₂ simultáneos")&gt;6),"CAPACIDAD EXCEDIDA","OK"),IF(OR(SUMIFS($F$2:$F$201,$E$2:$E$201,E16,$AH$2:$AH$201,"Confirmado")&gt;4,SUMIFS($G$2:$G$201,$E$2:$E$201,E16,$AH$2:$AH$201,"Confirmado")&gt;4,SUMIFS($H$2:$H$201,$E$2:$E$201,E16,$AH$2:$AH$201,"Confirmado")&gt;4,SUMIFS($I$2:$I$201,$E$2:$E$201,E16,$AH$2:$AH$201,"Confirmado")&gt;4),"CAPACIDAD EXCEDIDA","OK"))))</f>
        <v/>
      </c>
      <c r="AN16" s="2" t="str">
        <f aca="true">IF(A16="","",IF(AND(AC16&lt;1,Q16&lt;TODAY(),AH16="Aceptado pendiente de pago/orden"),"PLAZO VENCIDO",IF(AND(AC16&lt;1,AD16&lt;&gt;"",AD16&lt;TODAY()),"VENCIDO","OK")))</f>
        <v/>
      </c>
      <c r="AO16" s="6"/>
      <c r="AP16" s="8"/>
      <c r="AQ16" s="6"/>
      <c r="AR16" s="6" t="s">
        <v>73</v>
      </c>
      <c r="AS16" s="6"/>
      <c r="AT16" s="6"/>
      <c r="AU16" s="6"/>
      <c r="AV16" s="6"/>
      <c r="AW16" s="8" t="str">
        <f aca="false">IF(AV16="","",AV16+60)</f>
        <v/>
      </c>
      <c r="AX16" s="11" t="str">
        <f aca="true">IF(A16="","",IF(AND(AV16&lt;&gt;"",AW16&lt;TODAY(),OR(AH16="Interés",AH16="Cotizado")),"Sí","No"))</f>
        <v/>
      </c>
      <c r="AY16" s="6"/>
      <c r="AZ16" s="6"/>
      <c r="BA16" s="6"/>
      <c r="BB16" s="6"/>
      <c r="BC16" s="4"/>
      <c r="BD16" s="12"/>
    </row>
    <row r="17" customFormat="false" ht="23.8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2" t="n">
        <f aca="false">SUM(F17:I17)</f>
        <v>0</v>
      </c>
      <c r="K17" s="6"/>
      <c r="L17" s="6"/>
      <c r="M17" s="7"/>
      <c r="N17" s="7"/>
      <c r="O17" s="8"/>
      <c r="P17" s="8"/>
      <c r="Q17" s="8"/>
      <c r="R17" s="8"/>
      <c r="S17" s="8"/>
      <c r="T17" s="6"/>
      <c r="U17" s="6"/>
      <c r="V17" s="6"/>
      <c r="W17" s="6"/>
      <c r="X17" s="8"/>
      <c r="Y17" s="6"/>
      <c r="Z17" s="6"/>
      <c r="AA17" s="7"/>
      <c r="AB17" s="9" t="str">
        <f aca="false">IF(N17="","",MAX(0,N17-AA17))</f>
        <v/>
      </c>
      <c r="AC17" s="10" t="str">
        <f aca="false">IF(N17="","",IF(N17=0,0,AA17/N17))</f>
        <v/>
      </c>
      <c r="AD17" s="8"/>
      <c r="AE17" s="6"/>
      <c r="AF17" s="6"/>
      <c r="AG17" s="6"/>
      <c r="AH17" s="6"/>
      <c r="AI17" s="2" t="str">
        <f aca="false">IF(A17="","",IF(V17="Yes",IF(U17="Yes",1,2),""))</f>
        <v/>
      </c>
      <c r="AJ17" s="8"/>
      <c r="AK17" s="2" t="str">
        <f aca="false">IF(A17="","",IF(AJ17="","",COUNTIFS($E$2:$E$201,E17,$AI$2:$AI$201,AI17,$AJ$2:$AJ$201,"&lt;="&amp;AJ17)))</f>
        <v/>
      </c>
      <c r="AL17" s="2" t="str">
        <f aca="false">IF(A17="","",IF(AH17&lt;&gt;"Confirmado","No",IF(AG17="CO/SO₂ simultáneos",IF(OR(COUNTIFS($E$2:$E$201,E17,$AH$2:$AH$201,"Confirmado",$AG$2:$AG$201,"CO/SO₂ simultáneos")=3,SUMIFS($J$2:$J$201,$E$2:$E$201,E17,$AH$2:$AH$201,"Confirmado",$AG$2:$AG$201,"CO/SO₂ simultáneos")=6),"Sí","No"),IF(OR(AND(F17&gt;0,SUMIFS($F$2:$F$201,$E$2:$E$201,E17,$AH$2:$AH$201,"Confirmado")=4),AND(G17&gt;0,SUMIFS($G$2:$G$201,$E$2:$E$201,E17,$AH$2:$AH$201,"Confirmado")=4),AND(H17&gt;0,SUMIFS($H$2:$H$201,$E$2:$E$201,E17,$AH$2:$AH$201,"Confirmado")=4),AND(I17&gt;0,SUMIFS($I$2:$I$201,$E$2:$E$201,E17,$AH$2:$AH$201,"Confirmado")=4)),"Sí","No"))))</f>
        <v/>
      </c>
      <c r="AM17" s="2" t="str">
        <f aca="false">IF(A17="","",IF(AH17&lt;&gt;"Confirmado","",IF(AG17="CO/SO₂ simultáneos",IF(OR(COUNTIFS($E$2:$E$201,E17,$AH$2:$AH$201,"Confirmado",$AG$2:$AG$201,"CO/SO₂ simultáneos")&gt;3,SUMIFS($J$2:$J$201,$E$2:$E$201,E17,$AH$2:$AH$201,"Confirmado",$AG$2:$AG$201,"CO/SO₂ simultáneos")&gt;6),"CAPACIDAD EXCEDIDA","OK"),IF(OR(SUMIFS($F$2:$F$201,$E$2:$E$201,E17,$AH$2:$AH$201,"Confirmado")&gt;4,SUMIFS($G$2:$G$201,$E$2:$E$201,E17,$AH$2:$AH$201,"Confirmado")&gt;4,SUMIFS($H$2:$H$201,$E$2:$E$201,E17,$AH$2:$AH$201,"Confirmado")&gt;4,SUMIFS($I$2:$I$201,$E$2:$E$201,E17,$AH$2:$AH$201,"Confirmado")&gt;4),"CAPACIDAD EXCEDIDA","OK"))))</f>
        <v/>
      </c>
      <c r="AN17" s="2" t="str">
        <f aca="true">IF(A17="","",IF(AND(AC17&lt;1,Q17&lt;TODAY(),AH17="Aceptado pendiente de pago/orden"),"PLAZO VENCIDO",IF(AND(AC17&lt;1,AD17&lt;&gt;"",AD17&lt;TODAY()),"VENCIDO","OK")))</f>
        <v/>
      </c>
      <c r="AO17" s="6"/>
      <c r="AP17" s="8"/>
      <c r="AQ17" s="6"/>
      <c r="AR17" s="6" t="s">
        <v>73</v>
      </c>
      <c r="AS17" s="6"/>
      <c r="AT17" s="6"/>
      <c r="AU17" s="6"/>
      <c r="AV17" s="6"/>
      <c r="AW17" s="8" t="str">
        <f aca="false">IF(AV17="","",AV17+60)</f>
        <v/>
      </c>
      <c r="AX17" s="11" t="str">
        <f aca="true">IF(A17="","",IF(AND(AV17&lt;&gt;"",AW17&lt;TODAY(),OR(AH17="Interés",AH17="Cotizado")),"Sí","No"))</f>
        <v/>
      </c>
      <c r="AY17" s="6"/>
      <c r="AZ17" s="6"/>
      <c r="BA17" s="6"/>
      <c r="BB17" s="6"/>
      <c r="BC17" s="4"/>
      <c r="BD17" s="12"/>
    </row>
    <row r="18" customFormat="false" ht="23.8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2" t="n">
        <f aca="false">SUM(F18:I18)</f>
        <v>0</v>
      </c>
      <c r="K18" s="6"/>
      <c r="L18" s="6"/>
      <c r="M18" s="7"/>
      <c r="N18" s="7"/>
      <c r="O18" s="8"/>
      <c r="P18" s="8"/>
      <c r="Q18" s="8"/>
      <c r="R18" s="8"/>
      <c r="S18" s="8"/>
      <c r="T18" s="6"/>
      <c r="U18" s="6"/>
      <c r="V18" s="6"/>
      <c r="W18" s="6"/>
      <c r="X18" s="8"/>
      <c r="Y18" s="6"/>
      <c r="Z18" s="6"/>
      <c r="AA18" s="7"/>
      <c r="AB18" s="9" t="str">
        <f aca="false">IF(N18="","",MAX(0,N18-AA18))</f>
        <v/>
      </c>
      <c r="AC18" s="10" t="str">
        <f aca="false">IF(N18="","",IF(N18=0,0,AA18/N18))</f>
        <v/>
      </c>
      <c r="AD18" s="8"/>
      <c r="AE18" s="6"/>
      <c r="AF18" s="6"/>
      <c r="AG18" s="6"/>
      <c r="AH18" s="6"/>
      <c r="AI18" s="2" t="str">
        <f aca="false">IF(A18="","",IF(V18="Yes",IF(U18="Yes",1,2),""))</f>
        <v/>
      </c>
      <c r="AJ18" s="8"/>
      <c r="AK18" s="2" t="str">
        <f aca="false">IF(A18="","",IF(AJ18="","",COUNTIFS($E$2:$E$201,E18,$AI$2:$AI$201,AI18,$AJ$2:$AJ$201,"&lt;="&amp;AJ18)))</f>
        <v/>
      </c>
      <c r="AL18" s="2" t="str">
        <f aca="false">IF(A18="","",IF(AH18&lt;&gt;"Confirmado","No",IF(AG18="CO/SO₂ simultáneos",IF(OR(COUNTIFS($E$2:$E$201,E18,$AH$2:$AH$201,"Confirmado",$AG$2:$AG$201,"CO/SO₂ simultáneos")=3,SUMIFS($J$2:$J$201,$E$2:$E$201,E18,$AH$2:$AH$201,"Confirmado",$AG$2:$AG$201,"CO/SO₂ simultáneos")=6),"Sí","No"),IF(OR(AND(F18&gt;0,SUMIFS($F$2:$F$201,$E$2:$E$201,E18,$AH$2:$AH$201,"Confirmado")=4),AND(G18&gt;0,SUMIFS($G$2:$G$201,$E$2:$E$201,E18,$AH$2:$AH$201,"Confirmado")=4),AND(H18&gt;0,SUMIFS($H$2:$H$201,$E$2:$E$201,E18,$AH$2:$AH$201,"Confirmado")=4),AND(I18&gt;0,SUMIFS($I$2:$I$201,$E$2:$E$201,E18,$AH$2:$AH$201,"Confirmado")=4)),"Sí","No"))))</f>
        <v/>
      </c>
      <c r="AM18" s="2" t="str">
        <f aca="false">IF(A18="","",IF(AH18&lt;&gt;"Confirmado","",IF(AG18="CO/SO₂ simultáneos",IF(OR(COUNTIFS($E$2:$E$201,E18,$AH$2:$AH$201,"Confirmado",$AG$2:$AG$201,"CO/SO₂ simultáneos")&gt;3,SUMIFS($J$2:$J$201,$E$2:$E$201,E18,$AH$2:$AH$201,"Confirmado",$AG$2:$AG$201,"CO/SO₂ simultáneos")&gt;6),"CAPACIDAD EXCEDIDA","OK"),IF(OR(SUMIFS($F$2:$F$201,$E$2:$E$201,E18,$AH$2:$AH$201,"Confirmado")&gt;4,SUMIFS($G$2:$G$201,$E$2:$E$201,E18,$AH$2:$AH$201,"Confirmado")&gt;4,SUMIFS($H$2:$H$201,$E$2:$E$201,E18,$AH$2:$AH$201,"Confirmado")&gt;4,SUMIFS($I$2:$I$201,$E$2:$E$201,E18,$AH$2:$AH$201,"Confirmado")&gt;4),"CAPACIDAD EXCEDIDA","OK"))))</f>
        <v/>
      </c>
      <c r="AN18" s="2" t="str">
        <f aca="true">IF(A18="","",IF(AND(AC18&lt;1,Q18&lt;TODAY(),AH18="Aceptado pendiente de pago/orden"),"PLAZO VENCIDO",IF(AND(AC18&lt;1,AD18&lt;&gt;"",AD18&lt;TODAY()),"VENCIDO","OK")))</f>
        <v/>
      </c>
      <c r="AO18" s="6"/>
      <c r="AP18" s="8"/>
      <c r="AQ18" s="6"/>
      <c r="AR18" s="6" t="s">
        <v>73</v>
      </c>
      <c r="AS18" s="6"/>
      <c r="AT18" s="6"/>
      <c r="AU18" s="6"/>
      <c r="AV18" s="6"/>
      <c r="AW18" s="8" t="str">
        <f aca="false">IF(AV18="","",AV18+60)</f>
        <v/>
      </c>
      <c r="AX18" s="11" t="str">
        <f aca="true">IF(A18="","",IF(AND(AV18&lt;&gt;"",AW18&lt;TODAY(),OR(AH18="Interés",AH18="Cotizado")),"Sí","No"))</f>
        <v/>
      </c>
      <c r="AY18" s="6"/>
      <c r="AZ18" s="6"/>
      <c r="BA18" s="6"/>
      <c r="BB18" s="6"/>
      <c r="BC18" s="4"/>
      <c r="BD18" s="12"/>
    </row>
    <row r="19" customFormat="false" ht="23.8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2" t="n">
        <f aca="false">SUM(F19:I19)</f>
        <v>0</v>
      </c>
      <c r="K19" s="6"/>
      <c r="L19" s="6"/>
      <c r="M19" s="7"/>
      <c r="N19" s="7"/>
      <c r="O19" s="8"/>
      <c r="P19" s="8"/>
      <c r="Q19" s="8"/>
      <c r="R19" s="8"/>
      <c r="S19" s="8"/>
      <c r="T19" s="6"/>
      <c r="U19" s="6"/>
      <c r="V19" s="6"/>
      <c r="W19" s="6"/>
      <c r="X19" s="8"/>
      <c r="Y19" s="6"/>
      <c r="Z19" s="6"/>
      <c r="AA19" s="7"/>
      <c r="AB19" s="9" t="str">
        <f aca="false">IF(N19="","",MAX(0,N19-AA19))</f>
        <v/>
      </c>
      <c r="AC19" s="10" t="str">
        <f aca="false">IF(N19="","",IF(N19=0,0,AA19/N19))</f>
        <v/>
      </c>
      <c r="AD19" s="8"/>
      <c r="AE19" s="6"/>
      <c r="AF19" s="6"/>
      <c r="AG19" s="6"/>
      <c r="AH19" s="6"/>
      <c r="AI19" s="2" t="str">
        <f aca="false">IF(A19="","",IF(V19="Yes",IF(U19="Yes",1,2),""))</f>
        <v/>
      </c>
      <c r="AJ19" s="8"/>
      <c r="AK19" s="2" t="str">
        <f aca="false">IF(A19="","",IF(AJ19="","",COUNTIFS($E$2:$E$201,E19,$AI$2:$AI$201,AI19,$AJ$2:$AJ$201,"&lt;="&amp;AJ19)))</f>
        <v/>
      </c>
      <c r="AL19" s="2" t="str">
        <f aca="false">IF(A19="","",IF(AH19&lt;&gt;"Confirmado","No",IF(AG19="CO/SO₂ simultáneos",IF(OR(COUNTIFS($E$2:$E$201,E19,$AH$2:$AH$201,"Confirmado",$AG$2:$AG$201,"CO/SO₂ simultáneos")=3,SUMIFS($J$2:$J$201,$E$2:$E$201,E19,$AH$2:$AH$201,"Confirmado",$AG$2:$AG$201,"CO/SO₂ simultáneos")=6),"Sí","No"),IF(OR(AND(F19&gt;0,SUMIFS($F$2:$F$201,$E$2:$E$201,E19,$AH$2:$AH$201,"Confirmado")=4),AND(G19&gt;0,SUMIFS($G$2:$G$201,$E$2:$E$201,E19,$AH$2:$AH$201,"Confirmado")=4),AND(H19&gt;0,SUMIFS($H$2:$H$201,$E$2:$E$201,E19,$AH$2:$AH$201,"Confirmado")=4),AND(I19&gt;0,SUMIFS($I$2:$I$201,$E$2:$E$201,E19,$AH$2:$AH$201,"Confirmado")=4)),"Sí","No"))))</f>
        <v/>
      </c>
      <c r="AM19" s="2" t="str">
        <f aca="false">IF(A19="","",IF(AH19&lt;&gt;"Confirmado","",IF(AG19="CO/SO₂ simultáneos",IF(OR(COUNTIFS($E$2:$E$201,E19,$AH$2:$AH$201,"Confirmado",$AG$2:$AG$201,"CO/SO₂ simultáneos")&gt;3,SUMIFS($J$2:$J$201,$E$2:$E$201,E19,$AH$2:$AH$201,"Confirmado",$AG$2:$AG$201,"CO/SO₂ simultáneos")&gt;6),"CAPACIDAD EXCEDIDA","OK"),IF(OR(SUMIFS($F$2:$F$201,$E$2:$E$201,E19,$AH$2:$AH$201,"Confirmado")&gt;4,SUMIFS($G$2:$G$201,$E$2:$E$201,E19,$AH$2:$AH$201,"Confirmado")&gt;4,SUMIFS($H$2:$H$201,$E$2:$E$201,E19,$AH$2:$AH$201,"Confirmado")&gt;4,SUMIFS($I$2:$I$201,$E$2:$E$201,E19,$AH$2:$AH$201,"Confirmado")&gt;4),"CAPACIDAD EXCEDIDA","OK"))))</f>
        <v/>
      </c>
      <c r="AN19" s="2" t="str">
        <f aca="true">IF(A19="","",IF(AND(AC19&lt;1,Q19&lt;TODAY(),AH19="Aceptado pendiente de pago/orden"),"PLAZO VENCIDO",IF(AND(AC19&lt;1,AD19&lt;&gt;"",AD19&lt;TODAY()),"VENCIDO","OK")))</f>
        <v/>
      </c>
      <c r="AO19" s="6"/>
      <c r="AP19" s="8"/>
      <c r="AQ19" s="6"/>
      <c r="AR19" s="6" t="s">
        <v>73</v>
      </c>
      <c r="AS19" s="6"/>
      <c r="AT19" s="6"/>
      <c r="AU19" s="6"/>
      <c r="AV19" s="6"/>
      <c r="AW19" s="8" t="str">
        <f aca="false">IF(AV19="","",AV19+60)</f>
        <v/>
      </c>
      <c r="AX19" s="11" t="str">
        <f aca="true">IF(A19="","",IF(AND(AV19&lt;&gt;"",AW19&lt;TODAY(),OR(AH19="Interés",AH19="Cotizado")),"Sí","No"))</f>
        <v/>
      </c>
      <c r="AY19" s="6"/>
      <c r="AZ19" s="6"/>
      <c r="BA19" s="6"/>
      <c r="BB19" s="6"/>
      <c r="BC19" s="4"/>
      <c r="BD19" s="12"/>
    </row>
    <row r="20" customFormat="false" ht="23.8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2" t="n">
        <f aca="false">SUM(F20:I20)</f>
        <v>0</v>
      </c>
      <c r="K20" s="6"/>
      <c r="L20" s="6"/>
      <c r="M20" s="7"/>
      <c r="N20" s="7"/>
      <c r="O20" s="8"/>
      <c r="P20" s="8"/>
      <c r="Q20" s="8"/>
      <c r="R20" s="8"/>
      <c r="S20" s="8"/>
      <c r="T20" s="6"/>
      <c r="U20" s="6"/>
      <c r="V20" s="6"/>
      <c r="W20" s="6"/>
      <c r="X20" s="8"/>
      <c r="Y20" s="6"/>
      <c r="Z20" s="6"/>
      <c r="AA20" s="7"/>
      <c r="AB20" s="9" t="str">
        <f aca="false">IF(N20="","",MAX(0,N20-AA20))</f>
        <v/>
      </c>
      <c r="AC20" s="10" t="str">
        <f aca="false">IF(N20="","",IF(N20=0,0,AA20/N20))</f>
        <v/>
      </c>
      <c r="AD20" s="8"/>
      <c r="AE20" s="6"/>
      <c r="AF20" s="6"/>
      <c r="AG20" s="6"/>
      <c r="AH20" s="6"/>
      <c r="AI20" s="2" t="str">
        <f aca="false">IF(A20="","",IF(V20="Yes",IF(U20="Yes",1,2),""))</f>
        <v/>
      </c>
      <c r="AJ20" s="8"/>
      <c r="AK20" s="2" t="str">
        <f aca="false">IF(A20="","",IF(AJ20="","",COUNTIFS($E$2:$E$201,E20,$AI$2:$AI$201,AI20,$AJ$2:$AJ$201,"&lt;="&amp;AJ20)))</f>
        <v/>
      </c>
      <c r="AL20" s="2" t="str">
        <f aca="false">IF(A20="","",IF(AH20&lt;&gt;"Confirmado","No",IF(AG20="CO/SO₂ simultáneos",IF(OR(COUNTIFS($E$2:$E$201,E20,$AH$2:$AH$201,"Confirmado",$AG$2:$AG$201,"CO/SO₂ simultáneos")=3,SUMIFS($J$2:$J$201,$E$2:$E$201,E20,$AH$2:$AH$201,"Confirmado",$AG$2:$AG$201,"CO/SO₂ simultáneos")=6),"Sí","No"),IF(OR(AND(F20&gt;0,SUMIFS($F$2:$F$201,$E$2:$E$201,E20,$AH$2:$AH$201,"Confirmado")=4),AND(G20&gt;0,SUMIFS($G$2:$G$201,$E$2:$E$201,E20,$AH$2:$AH$201,"Confirmado")=4),AND(H20&gt;0,SUMIFS($H$2:$H$201,$E$2:$E$201,E20,$AH$2:$AH$201,"Confirmado")=4),AND(I20&gt;0,SUMIFS($I$2:$I$201,$E$2:$E$201,E20,$AH$2:$AH$201,"Confirmado")=4)),"Sí","No"))))</f>
        <v/>
      </c>
      <c r="AM20" s="2" t="str">
        <f aca="false">IF(A20="","",IF(AH20&lt;&gt;"Confirmado","",IF(AG20="CO/SO₂ simultáneos",IF(OR(COUNTIFS($E$2:$E$201,E20,$AH$2:$AH$201,"Confirmado",$AG$2:$AG$201,"CO/SO₂ simultáneos")&gt;3,SUMIFS($J$2:$J$201,$E$2:$E$201,E20,$AH$2:$AH$201,"Confirmado",$AG$2:$AG$201,"CO/SO₂ simultáneos")&gt;6),"CAPACIDAD EXCEDIDA","OK"),IF(OR(SUMIFS($F$2:$F$201,$E$2:$E$201,E20,$AH$2:$AH$201,"Confirmado")&gt;4,SUMIFS($G$2:$G$201,$E$2:$E$201,E20,$AH$2:$AH$201,"Confirmado")&gt;4,SUMIFS($H$2:$H$201,$E$2:$E$201,E20,$AH$2:$AH$201,"Confirmado")&gt;4,SUMIFS($I$2:$I$201,$E$2:$E$201,E20,$AH$2:$AH$201,"Confirmado")&gt;4),"CAPACIDAD EXCEDIDA","OK"))))</f>
        <v/>
      </c>
      <c r="AN20" s="2" t="str">
        <f aca="true">IF(A20="","",IF(AND(AC20&lt;1,Q20&lt;TODAY(),AH20="Aceptado pendiente de pago/orden"),"PLAZO VENCIDO",IF(AND(AC20&lt;1,AD20&lt;&gt;"",AD20&lt;TODAY()),"VENCIDO","OK")))</f>
        <v/>
      </c>
      <c r="AO20" s="6"/>
      <c r="AP20" s="8"/>
      <c r="AQ20" s="6"/>
      <c r="AR20" s="6" t="s">
        <v>73</v>
      </c>
      <c r="AS20" s="6"/>
      <c r="AT20" s="6"/>
      <c r="AU20" s="6"/>
      <c r="AV20" s="6"/>
      <c r="AW20" s="8" t="str">
        <f aca="false">IF(AV20="","",AV20+60)</f>
        <v/>
      </c>
      <c r="AX20" s="11" t="str">
        <f aca="true">IF(A20="","",IF(AND(AV20&lt;&gt;"",AW20&lt;TODAY(),OR(AH20="Interés",AH20="Cotizado")),"Sí","No"))</f>
        <v/>
      </c>
      <c r="AY20" s="6"/>
      <c r="AZ20" s="6"/>
      <c r="BA20" s="6"/>
      <c r="BB20" s="6"/>
      <c r="BC20" s="4"/>
      <c r="BD20" s="12"/>
    </row>
    <row r="21" customFormat="false" ht="23.8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2" t="n">
        <f aca="false">SUM(F21:I21)</f>
        <v>0</v>
      </c>
      <c r="K21" s="6"/>
      <c r="L21" s="6"/>
      <c r="M21" s="7"/>
      <c r="N21" s="7"/>
      <c r="O21" s="8"/>
      <c r="P21" s="8"/>
      <c r="Q21" s="8"/>
      <c r="R21" s="8"/>
      <c r="S21" s="8"/>
      <c r="T21" s="6"/>
      <c r="U21" s="6"/>
      <c r="V21" s="6"/>
      <c r="W21" s="6"/>
      <c r="X21" s="8"/>
      <c r="Y21" s="6"/>
      <c r="Z21" s="6"/>
      <c r="AA21" s="7"/>
      <c r="AB21" s="9" t="str">
        <f aca="false">IF(N21="","",MAX(0,N21-AA21))</f>
        <v/>
      </c>
      <c r="AC21" s="10" t="str">
        <f aca="false">IF(N21="","",IF(N21=0,0,AA21/N21))</f>
        <v/>
      </c>
      <c r="AD21" s="8"/>
      <c r="AE21" s="6"/>
      <c r="AF21" s="6"/>
      <c r="AG21" s="6"/>
      <c r="AH21" s="6"/>
      <c r="AI21" s="2" t="str">
        <f aca="false">IF(A21="","",IF(V21="Yes",IF(U21="Yes",1,2),""))</f>
        <v/>
      </c>
      <c r="AJ21" s="8"/>
      <c r="AK21" s="2" t="str">
        <f aca="false">IF(A21="","",IF(AJ21="","",COUNTIFS($E$2:$E$201,E21,$AI$2:$AI$201,AI21,$AJ$2:$AJ$201,"&lt;="&amp;AJ21)))</f>
        <v/>
      </c>
      <c r="AL21" s="2" t="str">
        <f aca="false">IF(A21="","",IF(AH21&lt;&gt;"Confirmado","No",IF(AG21="CO/SO₂ simultáneos",IF(OR(COUNTIFS($E$2:$E$201,E21,$AH$2:$AH$201,"Confirmado",$AG$2:$AG$201,"CO/SO₂ simultáneos")=3,SUMIFS($J$2:$J$201,$E$2:$E$201,E21,$AH$2:$AH$201,"Confirmado",$AG$2:$AG$201,"CO/SO₂ simultáneos")=6),"Sí","No"),IF(OR(AND(F21&gt;0,SUMIFS($F$2:$F$201,$E$2:$E$201,E21,$AH$2:$AH$201,"Confirmado")=4),AND(G21&gt;0,SUMIFS($G$2:$G$201,$E$2:$E$201,E21,$AH$2:$AH$201,"Confirmado")=4),AND(H21&gt;0,SUMIFS($H$2:$H$201,$E$2:$E$201,E21,$AH$2:$AH$201,"Confirmado")=4),AND(I21&gt;0,SUMIFS($I$2:$I$201,$E$2:$E$201,E21,$AH$2:$AH$201,"Confirmado")=4)),"Sí","No"))))</f>
        <v/>
      </c>
      <c r="AM21" s="2" t="str">
        <f aca="false">IF(A21="","",IF(AH21&lt;&gt;"Confirmado","",IF(AG21="CO/SO₂ simultáneos",IF(OR(COUNTIFS($E$2:$E$201,E21,$AH$2:$AH$201,"Confirmado",$AG$2:$AG$201,"CO/SO₂ simultáneos")&gt;3,SUMIFS($J$2:$J$201,$E$2:$E$201,E21,$AH$2:$AH$201,"Confirmado",$AG$2:$AG$201,"CO/SO₂ simultáneos")&gt;6),"CAPACIDAD EXCEDIDA","OK"),IF(OR(SUMIFS($F$2:$F$201,$E$2:$E$201,E21,$AH$2:$AH$201,"Confirmado")&gt;4,SUMIFS($G$2:$G$201,$E$2:$E$201,E21,$AH$2:$AH$201,"Confirmado")&gt;4,SUMIFS($H$2:$H$201,$E$2:$E$201,E21,$AH$2:$AH$201,"Confirmado")&gt;4,SUMIFS($I$2:$I$201,$E$2:$E$201,E21,$AH$2:$AH$201,"Confirmado")&gt;4),"CAPACIDAD EXCEDIDA","OK"))))</f>
        <v/>
      </c>
      <c r="AN21" s="2" t="str">
        <f aca="true">IF(A21="","",IF(AND(AC21&lt;1,Q21&lt;TODAY(),AH21="Aceptado pendiente de pago/orden"),"PLAZO VENCIDO",IF(AND(AC21&lt;1,AD21&lt;&gt;"",AD21&lt;TODAY()),"VENCIDO","OK")))</f>
        <v/>
      </c>
      <c r="AO21" s="6"/>
      <c r="AP21" s="8"/>
      <c r="AQ21" s="6"/>
      <c r="AR21" s="6" t="s">
        <v>73</v>
      </c>
      <c r="AS21" s="6"/>
      <c r="AT21" s="6"/>
      <c r="AU21" s="6"/>
      <c r="AV21" s="6"/>
      <c r="AW21" s="8" t="str">
        <f aca="false">IF(AV21="","",AV21+60)</f>
        <v/>
      </c>
      <c r="AX21" s="11" t="str">
        <f aca="true">IF(A21="","",IF(AND(AV21&lt;&gt;"",AW21&lt;TODAY(),OR(AH21="Interés",AH21="Cotizado")),"Sí","No"))</f>
        <v/>
      </c>
      <c r="AY21" s="6"/>
      <c r="AZ21" s="6"/>
      <c r="BA21" s="6"/>
      <c r="BB21" s="6"/>
      <c r="BC21" s="4"/>
      <c r="BD21" s="12"/>
    </row>
    <row r="22" customFormat="false" ht="23.8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2" t="n">
        <f aca="false">SUM(F22:I22)</f>
        <v>0</v>
      </c>
      <c r="K22" s="6"/>
      <c r="L22" s="6"/>
      <c r="M22" s="7"/>
      <c r="N22" s="7"/>
      <c r="O22" s="8"/>
      <c r="P22" s="8"/>
      <c r="Q22" s="8"/>
      <c r="R22" s="8"/>
      <c r="S22" s="8"/>
      <c r="T22" s="6"/>
      <c r="U22" s="6"/>
      <c r="V22" s="6"/>
      <c r="W22" s="6"/>
      <c r="X22" s="8"/>
      <c r="Y22" s="6"/>
      <c r="Z22" s="6"/>
      <c r="AA22" s="7"/>
      <c r="AB22" s="9" t="str">
        <f aca="false">IF(N22="","",MAX(0,N22-AA22))</f>
        <v/>
      </c>
      <c r="AC22" s="10" t="str">
        <f aca="false">IF(N22="","",IF(N22=0,0,AA22/N22))</f>
        <v/>
      </c>
      <c r="AD22" s="8"/>
      <c r="AE22" s="6"/>
      <c r="AF22" s="6"/>
      <c r="AG22" s="6"/>
      <c r="AH22" s="6"/>
      <c r="AI22" s="2" t="str">
        <f aca="false">IF(A22="","",IF(V22="Yes",IF(U22="Yes",1,2),""))</f>
        <v/>
      </c>
      <c r="AJ22" s="8"/>
      <c r="AK22" s="2" t="str">
        <f aca="false">IF(A22="","",IF(AJ22="","",COUNTIFS($E$2:$E$201,E22,$AI$2:$AI$201,AI22,$AJ$2:$AJ$201,"&lt;="&amp;AJ22)))</f>
        <v/>
      </c>
      <c r="AL22" s="2" t="str">
        <f aca="false">IF(A22="","",IF(AH22&lt;&gt;"Confirmado","No",IF(AG22="CO/SO₂ simultáneos",IF(OR(COUNTIFS($E$2:$E$201,E22,$AH$2:$AH$201,"Confirmado",$AG$2:$AG$201,"CO/SO₂ simultáneos")=3,SUMIFS($J$2:$J$201,$E$2:$E$201,E22,$AH$2:$AH$201,"Confirmado",$AG$2:$AG$201,"CO/SO₂ simultáneos")=6),"Sí","No"),IF(OR(AND(F22&gt;0,SUMIFS($F$2:$F$201,$E$2:$E$201,E22,$AH$2:$AH$201,"Confirmado")=4),AND(G22&gt;0,SUMIFS($G$2:$G$201,$E$2:$E$201,E22,$AH$2:$AH$201,"Confirmado")=4),AND(H22&gt;0,SUMIFS($H$2:$H$201,$E$2:$E$201,E22,$AH$2:$AH$201,"Confirmado")=4),AND(I22&gt;0,SUMIFS($I$2:$I$201,$E$2:$E$201,E22,$AH$2:$AH$201,"Confirmado")=4)),"Sí","No"))))</f>
        <v/>
      </c>
      <c r="AM22" s="2" t="str">
        <f aca="false">IF(A22="","",IF(AH22&lt;&gt;"Confirmado","",IF(AG22="CO/SO₂ simultáneos",IF(OR(COUNTIFS($E$2:$E$201,E22,$AH$2:$AH$201,"Confirmado",$AG$2:$AG$201,"CO/SO₂ simultáneos")&gt;3,SUMIFS($J$2:$J$201,$E$2:$E$201,E22,$AH$2:$AH$201,"Confirmado",$AG$2:$AG$201,"CO/SO₂ simultáneos")&gt;6),"CAPACIDAD EXCEDIDA","OK"),IF(OR(SUMIFS($F$2:$F$201,$E$2:$E$201,E22,$AH$2:$AH$201,"Confirmado")&gt;4,SUMIFS($G$2:$G$201,$E$2:$E$201,E22,$AH$2:$AH$201,"Confirmado")&gt;4,SUMIFS($H$2:$H$201,$E$2:$E$201,E22,$AH$2:$AH$201,"Confirmado")&gt;4,SUMIFS($I$2:$I$201,$E$2:$E$201,E22,$AH$2:$AH$201,"Confirmado")&gt;4),"CAPACIDAD EXCEDIDA","OK"))))</f>
        <v/>
      </c>
      <c r="AN22" s="2" t="str">
        <f aca="true">IF(A22="","",IF(AND(AC22&lt;1,Q22&lt;TODAY(),AH22="Aceptado pendiente de pago/orden"),"PLAZO VENCIDO",IF(AND(AC22&lt;1,AD22&lt;&gt;"",AD22&lt;TODAY()),"VENCIDO","OK")))</f>
        <v/>
      </c>
      <c r="AO22" s="6"/>
      <c r="AP22" s="8"/>
      <c r="AQ22" s="6"/>
      <c r="AR22" s="6" t="s">
        <v>73</v>
      </c>
      <c r="AS22" s="6"/>
      <c r="AT22" s="6"/>
      <c r="AU22" s="6"/>
      <c r="AV22" s="6"/>
      <c r="AW22" s="8" t="str">
        <f aca="false">IF(AV22="","",AV22+60)</f>
        <v/>
      </c>
      <c r="AX22" s="11" t="str">
        <f aca="true">IF(A22="","",IF(AND(AV22&lt;&gt;"",AW22&lt;TODAY(),OR(AH22="Interés",AH22="Cotizado")),"Sí","No"))</f>
        <v/>
      </c>
      <c r="AY22" s="6"/>
      <c r="AZ22" s="6"/>
      <c r="BA22" s="6"/>
      <c r="BB22" s="6"/>
      <c r="BC22" s="4"/>
      <c r="BD22" s="12"/>
    </row>
    <row r="23" customFormat="false" ht="23.8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2" t="n">
        <f aca="false">SUM(F23:I23)</f>
        <v>0</v>
      </c>
      <c r="K23" s="6"/>
      <c r="L23" s="6"/>
      <c r="M23" s="7"/>
      <c r="N23" s="7"/>
      <c r="O23" s="8"/>
      <c r="P23" s="8"/>
      <c r="Q23" s="8"/>
      <c r="R23" s="8"/>
      <c r="S23" s="8"/>
      <c r="T23" s="6"/>
      <c r="U23" s="6"/>
      <c r="V23" s="6"/>
      <c r="W23" s="6"/>
      <c r="X23" s="8"/>
      <c r="Y23" s="6"/>
      <c r="Z23" s="6"/>
      <c r="AA23" s="7"/>
      <c r="AB23" s="9" t="str">
        <f aca="false">IF(N23="","",MAX(0,N23-AA23))</f>
        <v/>
      </c>
      <c r="AC23" s="10" t="str">
        <f aca="false">IF(N23="","",IF(N23=0,0,AA23/N23))</f>
        <v/>
      </c>
      <c r="AD23" s="8"/>
      <c r="AE23" s="6"/>
      <c r="AF23" s="6"/>
      <c r="AG23" s="6"/>
      <c r="AH23" s="6"/>
      <c r="AI23" s="2" t="str">
        <f aca="false">IF(A23="","",IF(V23="Yes",IF(U23="Yes",1,2),""))</f>
        <v/>
      </c>
      <c r="AJ23" s="8"/>
      <c r="AK23" s="2" t="str">
        <f aca="false">IF(A23="","",IF(AJ23="","",COUNTIFS($E$2:$E$201,E23,$AI$2:$AI$201,AI23,$AJ$2:$AJ$201,"&lt;="&amp;AJ23)))</f>
        <v/>
      </c>
      <c r="AL23" s="2" t="str">
        <f aca="false">IF(A23="","",IF(AH23&lt;&gt;"Confirmado","No",IF(AG23="CO/SO₂ simultáneos",IF(OR(COUNTIFS($E$2:$E$201,E23,$AH$2:$AH$201,"Confirmado",$AG$2:$AG$201,"CO/SO₂ simultáneos")=3,SUMIFS($J$2:$J$201,$E$2:$E$201,E23,$AH$2:$AH$201,"Confirmado",$AG$2:$AG$201,"CO/SO₂ simultáneos")=6),"Sí","No"),IF(OR(AND(F23&gt;0,SUMIFS($F$2:$F$201,$E$2:$E$201,E23,$AH$2:$AH$201,"Confirmado")=4),AND(G23&gt;0,SUMIFS($G$2:$G$201,$E$2:$E$201,E23,$AH$2:$AH$201,"Confirmado")=4),AND(H23&gt;0,SUMIFS($H$2:$H$201,$E$2:$E$201,E23,$AH$2:$AH$201,"Confirmado")=4),AND(I23&gt;0,SUMIFS($I$2:$I$201,$E$2:$E$201,E23,$AH$2:$AH$201,"Confirmado")=4)),"Sí","No"))))</f>
        <v/>
      </c>
      <c r="AM23" s="2" t="str">
        <f aca="false">IF(A23="","",IF(AH23&lt;&gt;"Confirmado","",IF(AG23="CO/SO₂ simultáneos",IF(OR(COUNTIFS($E$2:$E$201,E23,$AH$2:$AH$201,"Confirmado",$AG$2:$AG$201,"CO/SO₂ simultáneos")&gt;3,SUMIFS($J$2:$J$201,$E$2:$E$201,E23,$AH$2:$AH$201,"Confirmado",$AG$2:$AG$201,"CO/SO₂ simultáneos")&gt;6),"CAPACIDAD EXCEDIDA","OK"),IF(OR(SUMIFS($F$2:$F$201,$E$2:$E$201,E23,$AH$2:$AH$201,"Confirmado")&gt;4,SUMIFS($G$2:$G$201,$E$2:$E$201,E23,$AH$2:$AH$201,"Confirmado")&gt;4,SUMIFS($H$2:$H$201,$E$2:$E$201,E23,$AH$2:$AH$201,"Confirmado")&gt;4,SUMIFS($I$2:$I$201,$E$2:$E$201,E23,$AH$2:$AH$201,"Confirmado")&gt;4),"CAPACIDAD EXCEDIDA","OK"))))</f>
        <v/>
      </c>
      <c r="AN23" s="2" t="str">
        <f aca="true">IF(A23="","",IF(AND(AC23&lt;1,Q23&lt;TODAY(),AH23="Aceptado pendiente de pago/orden"),"PLAZO VENCIDO",IF(AND(AC23&lt;1,AD23&lt;&gt;"",AD23&lt;TODAY()),"VENCIDO","OK")))</f>
        <v/>
      </c>
      <c r="AO23" s="6"/>
      <c r="AP23" s="8"/>
      <c r="AQ23" s="6"/>
      <c r="AR23" s="6" t="s">
        <v>73</v>
      </c>
      <c r="AS23" s="6"/>
      <c r="AT23" s="6"/>
      <c r="AU23" s="6"/>
      <c r="AV23" s="6"/>
      <c r="AW23" s="8" t="str">
        <f aca="false">IF(AV23="","",AV23+60)</f>
        <v/>
      </c>
      <c r="AX23" s="11" t="str">
        <f aca="true">IF(A23="","",IF(AND(AV23&lt;&gt;"",AW23&lt;TODAY(),OR(AH23="Interés",AH23="Cotizado")),"Sí","No"))</f>
        <v/>
      </c>
      <c r="AY23" s="6"/>
      <c r="AZ23" s="6"/>
      <c r="BA23" s="6"/>
      <c r="BB23" s="6"/>
      <c r="BC23" s="4"/>
      <c r="BD23" s="12"/>
    </row>
    <row r="24" customFormat="false" ht="23.8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2" t="n">
        <f aca="false">SUM(F24:I24)</f>
        <v>0</v>
      </c>
      <c r="K24" s="6"/>
      <c r="L24" s="6"/>
      <c r="M24" s="7"/>
      <c r="N24" s="7"/>
      <c r="O24" s="8"/>
      <c r="P24" s="8"/>
      <c r="Q24" s="8"/>
      <c r="R24" s="8"/>
      <c r="S24" s="8"/>
      <c r="T24" s="6"/>
      <c r="U24" s="6"/>
      <c r="V24" s="6"/>
      <c r="W24" s="6"/>
      <c r="X24" s="8"/>
      <c r="Y24" s="6"/>
      <c r="Z24" s="6"/>
      <c r="AA24" s="7"/>
      <c r="AB24" s="9" t="str">
        <f aca="false">IF(N24="","",MAX(0,N24-AA24))</f>
        <v/>
      </c>
      <c r="AC24" s="10" t="str">
        <f aca="false">IF(N24="","",IF(N24=0,0,AA24/N24))</f>
        <v/>
      </c>
      <c r="AD24" s="8"/>
      <c r="AE24" s="6"/>
      <c r="AF24" s="6"/>
      <c r="AG24" s="6"/>
      <c r="AH24" s="6"/>
      <c r="AI24" s="2" t="str">
        <f aca="false">IF(A24="","",IF(V24="Yes",IF(U24="Yes",1,2),""))</f>
        <v/>
      </c>
      <c r="AJ24" s="8"/>
      <c r="AK24" s="2" t="str">
        <f aca="false">IF(A24="","",IF(AJ24="","",COUNTIFS($E$2:$E$201,E24,$AI$2:$AI$201,AI24,$AJ$2:$AJ$201,"&lt;="&amp;AJ24)))</f>
        <v/>
      </c>
      <c r="AL24" s="2" t="str">
        <f aca="false">IF(A24="","",IF(AH24&lt;&gt;"Confirmado","No",IF(AG24="CO/SO₂ simultáneos",IF(OR(COUNTIFS($E$2:$E$201,E24,$AH$2:$AH$201,"Confirmado",$AG$2:$AG$201,"CO/SO₂ simultáneos")=3,SUMIFS($J$2:$J$201,$E$2:$E$201,E24,$AH$2:$AH$201,"Confirmado",$AG$2:$AG$201,"CO/SO₂ simultáneos")=6),"Sí","No"),IF(OR(AND(F24&gt;0,SUMIFS($F$2:$F$201,$E$2:$E$201,E24,$AH$2:$AH$201,"Confirmado")=4),AND(G24&gt;0,SUMIFS($G$2:$G$201,$E$2:$E$201,E24,$AH$2:$AH$201,"Confirmado")=4),AND(H24&gt;0,SUMIFS($H$2:$H$201,$E$2:$E$201,E24,$AH$2:$AH$201,"Confirmado")=4),AND(I24&gt;0,SUMIFS($I$2:$I$201,$E$2:$E$201,E24,$AH$2:$AH$201,"Confirmado")=4)),"Sí","No"))))</f>
        <v/>
      </c>
      <c r="AM24" s="2" t="str">
        <f aca="false">IF(A24="","",IF(AH24&lt;&gt;"Confirmado","",IF(AG24="CO/SO₂ simultáneos",IF(OR(COUNTIFS($E$2:$E$201,E24,$AH$2:$AH$201,"Confirmado",$AG$2:$AG$201,"CO/SO₂ simultáneos")&gt;3,SUMIFS($J$2:$J$201,$E$2:$E$201,E24,$AH$2:$AH$201,"Confirmado",$AG$2:$AG$201,"CO/SO₂ simultáneos")&gt;6),"CAPACIDAD EXCEDIDA","OK"),IF(OR(SUMIFS($F$2:$F$201,$E$2:$E$201,E24,$AH$2:$AH$201,"Confirmado")&gt;4,SUMIFS($G$2:$G$201,$E$2:$E$201,E24,$AH$2:$AH$201,"Confirmado")&gt;4,SUMIFS($H$2:$H$201,$E$2:$E$201,E24,$AH$2:$AH$201,"Confirmado")&gt;4,SUMIFS($I$2:$I$201,$E$2:$E$201,E24,$AH$2:$AH$201,"Confirmado")&gt;4),"CAPACIDAD EXCEDIDA","OK"))))</f>
        <v/>
      </c>
      <c r="AN24" s="2" t="str">
        <f aca="true">IF(A24="","",IF(AND(AC24&lt;1,Q24&lt;TODAY(),AH24="Aceptado pendiente de pago/orden"),"PLAZO VENCIDO",IF(AND(AC24&lt;1,AD24&lt;&gt;"",AD24&lt;TODAY()),"VENCIDO","OK")))</f>
        <v/>
      </c>
      <c r="AO24" s="6"/>
      <c r="AP24" s="8"/>
      <c r="AQ24" s="6"/>
      <c r="AR24" s="6" t="s">
        <v>73</v>
      </c>
      <c r="AS24" s="6"/>
      <c r="AT24" s="6"/>
      <c r="AU24" s="6"/>
      <c r="AV24" s="6"/>
      <c r="AW24" s="8" t="str">
        <f aca="false">IF(AV24="","",AV24+60)</f>
        <v/>
      </c>
      <c r="AX24" s="11" t="str">
        <f aca="true">IF(A24="","",IF(AND(AV24&lt;&gt;"",AW24&lt;TODAY(),OR(AH24="Interés",AH24="Cotizado")),"Sí","No"))</f>
        <v/>
      </c>
      <c r="AY24" s="6"/>
      <c r="AZ24" s="6"/>
      <c r="BA24" s="6"/>
      <c r="BB24" s="6"/>
      <c r="BC24" s="4"/>
      <c r="BD24" s="12"/>
    </row>
    <row r="25" customFormat="false" ht="23.8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2" t="n">
        <f aca="false">SUM(F25:I25)</f>
        <v>0</v>
      </c>
      <c r="K25" s="6"/>
      <c r="L25" s="6"/>
      <c r="M25" s="7"/>
      <c r="N25" s="7"/>
      <c r="O25" s="8"/>
      <c r="P25" s="8"/>
      <c r="Q25" s="8"/>
      <c r="R25" s="8"/>
      <c r="S25" s="8"/>
      <c r="T25" s="6"/>
      <c r="U25" s="6"/>
      <c r="V25" s="6"/>
      <c r="W25" s="6"/>
      <c r="X25" s="8"/>
      <c r="Y25" s="6"/>
      <c r="Z25" s="6"/>
      <c r="AA25" s="7"/>
      <c r="AB25" s="9" t="str">
        <f aca="false">IF(N25="","",MAX(0,N25-AA25))</f>
        <v/>
      </c>
      <c r="AC25" s="10" t="str">
        <f aca="false">IF(N25="","",IF(N25=0,0,AA25/N25))</f>
        <v/>
      </c>
      <c r="AD25" s="8"/>
      <c r="AE25" s="6"/>
      <c r="AF25" s="6"/>
      <c r="AG25" s="6"/>
      <c r="AH25" s="6"/>
      <c r="AI25" s="2" t="str">
        <f aca="false">IF(A25="","",IF(V25="Yes",IF(U25="Yes",1,2),""))</f>
        <v/>
      </c>
      <c r="AJ25" s="8"/>
      <c r="AK25" s="2" t="str">
        <f aca="false">IF(A25="","",IF(AJ25="","",COUNTIFS($E$2:$E$201,E25,$AI$2:$AI$201,AI25,$AJ$2:$AJ$201,"&lt;="&amp;AJ25)))</f>
        <v/>
      </c>
      <c r="AL25" s="2" t="str">
        <f aca="false">IF(A25="","",IF(AH25&lt;&gt;"Confirmado","No",IF(AG25="CO/SO₂ simultáneos",IF(OR(COUNTIFS($E$2:$E$201,E25,$AH$2:$AH$201,"Confirmado",$AG$2:$AG$201,"CO/SO₂ simultáneos")=3,SUMIFS($J$2:$J$201,$E$2:$E$201,E25,$AH$2:$AH$201,"Confirmado",$AG$2:$AG$201,"CO/SO₂ simultáneos")=6),"Sí","No"),IF(OR(AND(F25&gt;0,SUMIFS($F$2:$F$201,$E$2:$E$201,E25,$AH$2:$AH$201,"Confirmado")=4),AND(G25&gt;0,SUMIFS($G$2:$G$201,$E$2:$E$201,E25,$AH$2:$AH$201,"Confirmado")=4),AND(H25&gt;0,SUMIFS($H$2:$H$201,$E$2:$E$201,E25,$AH$2:$AH$201,"Confirmado")=4),AND(I25&gt;0,SUMIFS($I$2:$I$201,$E$2:$E$201,E25,$AH$2:$AH$201,"Confirmado")=4)),"Sí","No"))))</f>
        <v/>
      </c>
      <c r="AM25" s="2" t="str">
        <f aca="false">IF(A25="","",IF(AH25&lt;&gt;"Confirmado","",IF(AG25="CO/SO₂ simultáneos",IF(OR(COUNTIFS($E$2:$E$201,E25,$AH$2:$AH$201,"Confirmado",$AG$2:$AG$201,"CO/SO₂ simultáneos")&gt;3,SUMIFS($J$2:$J$201,$E$2:$E$201,E25,$AH$2:$AH$201,"Confirmado",$AG$2:$AG$201,"CO/SO₂ simultáneos")&gt;6),"CAPACIDAD EXCEDIDA","OK"),IF(OR(SUMIFS($F$2:$F$201,$E$2:$E$201,E25,$AH$2:$AH$201,"Confirmado")&gt;4,SUMIFS($G$2:$G$201,$E$2:$E$201,E25,$AH$2:$AH$201,"Confirmado")&gt;4,SUMIFS($H$2:$H$201,$E$2:$E$201,E25,$AH$2:$AH$201,"Confirmado")&gt;4,SUMIFS($I$2:$I$201,$E$2:$E$201,E25,$AH$2:$AH$201,"Confirmado")&gt;4),"CAPACIDAD EXCEDIDA","OK"))))</f>
        <v/>
      </c>
      <c r="AN25" s="2" t="str">
        <f aca="true">IF(A25="","",IF(AND(AC25&lt;1,Q25&lt;TODAY(),AH25="Aceptado pendiente de pago/orden"),"PLAZO VENCIDO",IF(AND(AC25&lt;1,AD25&lt;&gt;"",AD25&lt;TODAY()),"VENCIDO","OK")))</f>
        <v/>
      </c>
      <c r="AO25" s="6"/>
      <c r="AP25" s="8"/>
      <c r="AQ25" s="6"/>
      <c r="AR25" s="6" t="s">
        <v>73</v>
      </c>
      <c r="AS25" s="6"/>
      <c r="AT25" s="6"/>
      <c r="AU25" s="6"/>
      <c r="AV25" s="6"/>
      <c r="AW25" s="8" t="str">
        <f aca="false">IF(AV25="","",AV25+60)</f>
        <v/>
      </c>
      <c r="AX25" s="11" t="str">
        <f aca="true">IF(A25="","",IF(AND(AV25&lt;&gt;"",AW25&lt;TODAY(),OR(AH25="Interés",AH25="Cotizado")),"Sí","No"))</f>
        <v/>
      </c>
      <c r="AY25" s="6"/>
      <c r="AZ25" s="6"/>
      <c r="BA25" s="6"/>
      <c r="BB25" s="6"/>
      <c r="BC25" s="4"/>
      <c r="BD25" s="12"/>
    </row>
    <row r="26" customFormat="false" ht="23.8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2" t="n">
        <f aca="false">SUM(F26:I26)</f>
        <v>0</v>
      </c>
      <c r="K26" s="6"/>
      <c r="L26" s="6"/>
      <c r="M26" s="7"/>
      <c r="N26" s="7"/>
      <c r="O26" s="8"/>
      <c r="P26" s="8"/>
      <c r="Q26" s="8"/>
      <c r="R26" s="8"/>
      <c r="S26" s="8"/>
      <c r="T26" s="6"/>
      <c r="U26" s="6"/>
      <c r="V26" s="6"/>
      <c r="W26" s="6"/>
      <c r="X26" s="8"/>
      <c r="Y26" s="6"/>
      <c r="Z26" s="6"/>
      <c r="AA26" s="7"/>
      <c r="AB26" s="9" t="str">
        <f aca="false">IF(N26="","",MAX(0,N26-AA26))</f>
        <v/>
      </c>
      <c r="AC26" s="10" t="str">
        <f aca="false">IF(N26="","",IF(N26=0,0,AA26/N26))</f>
        <v/>
      </c>
      <c r="AD26" s="8"/>
      <c r="AE26" s="6"/>
      <c r="AF26" s="6"/>
      <c r="AG26" s="6"/>
      <c r="AH26" s="6"/>
      <c r="AI26" s="2" t="str">
        <f aca="false">IF(A26="","",IF(V26="Yes",IF(U26="Yes",1,2),""))</f>
        <v/>
      </c>
      <c r="AJ26" s="8"/>
      <c r="AK26" s="2" t="str">
        <f aca="false">IF(A26="","",IF(AJ26="","",COUNTIFS($E$2:$E$201,E26,$AI$2:$AI$201,AI26,$AJ$2:$AJ$201,"&lt;="&amp;AJ26)))</f>
        <v/>
      </c>
      <c r="AL26" s="2" t="str">
        <f aca="false">IF(A26="","",IF(AH26&lt;&gt;"Confirmado","No",IF(AG26="CO/SO₂ simultáneos",IF(OR(COUNTIFS($E$2:$E$201,E26,$AH$2:$AH$201,"Confirmado",$AG$2:$AG$201,"CO/SO₂ simultáneos")=3,SUMIFS($J$2:$J$201,$E$2:$E$201,E26,$AH$2:$AH$201,"Confirmado",$AG$2:$AG$201,"CO/SO₂ simultáneos")=6),"Sí","No"),IF(OR(AND(F26&gt;0,SUMIFS($F$2:$F$201,$E$2:$E$201,E26,$AH$2:$AH$201,"Confirmado")=4),AND(G26&gt;0,SUMIFS($G$2:$G$201,$E$2:$E$201,E26,$AH$2:$AH$201,"Confirmado")=4),AND(H26&gt;0,SUMIFS($H$2:$H$201,$E$2:$E$201,E26,$AH$2:$AH$201,"Confirmado")=4),AND(I26&gt;0,SUMIFS($I$2:$I$201,$E$2:$E$201,E26,$AH$2:$AH$201,"Confirmado")=4)),"Sí","No"))))</f>
        <v/>
      </c>
      <c r="AM26" s="2" t="str">
        <f aca="false">IF(A26="","",IF(AH26&lt;&gt;"Confirmado","",IF(AG26="CO/SO₂ simultáneos",IF(OR(COUNTIFS($E$2:$E$201,E26,$AH$2:$AH$201,"Confirmado",$AG$2:$AG$201,"CO/SO₂ simultáneos")&gt;3,SUMIFS($J$2:$J$201,$E$2:$E$201,E26,$AH$2:$AH$201,"Confirmado",$AG$2:$AG$201,"CO/SO₂ simultáneos")&gt;6),"CAPACIDAD EXCEDIDA","OK"),IF(OR(SUMIFS($F$2:$F$201,$E$2:$E$201,E26,$AH$2:$AH$201,"Confirmado")&gt;4,SUMIFS($G$2:$G$201,$E$2:$E$201,E26,$AH$2:$AH$201,"Confirmado")&gt;4,SUMIFS($H$2:$H$201,$E$2:$E$201,E26,$AH$2:$AH$201,"Confirmado")&gt;4,SUMIFS($I$2:$I$201,$E$2:$E$201,E26,$AH$2:$AH$201,"Confirmado")&gt;4),"CAPACIDAD EXCEDIDA","OK"))))</f>
        <v/>
      </c>
      <c r="AN26" s="2" t="str">
        <f aca="true">IF(A26="","",IF(AND(AC26&lt;1,Q26&lt;TODAY(),AH26="Aceptado pendiente de pago/orden"),"PLAZO VENCIDO",IF(AND(AC26&lt;1,AD26&lt;&gt;"",AD26&lt;TODAY()),"VENCIDO","OK")))</f>
        <v/>
      </c>
      <c r="AO26" s="6"/>
      <c r="AP26" s="8"/>
      <c r="AQ26" s="6"/>
      <c r="AR26" s="6" t="s">
        <v>73</v>
      </c>
      <c r="AS26" s="6"/>
      <c r="AT26" s="6"/>
      <c r="AU26" s="6"/>
      <c r="AV26" s="6"/>
      <c r="AW26" s="8" t="str">
        <f aca="false">IF(AV26="","",AV26+60)</f>
        <v/>
      </c>
      <c r="AX26" s="11" t="str">
        <f aca="true">IF(A26="","",IF(AND(AV26&lt;&gt;"",AW26&lt;TODAY(),OR(AH26="Interés",AH26="Cotizado")),"Sí","No"))</f>
        <v/>
      </c>
      <c r="AY26" s="6"/>
      <c r="AZ26" s="6"/>
      <c r="BA26" s="6"/>
      <c r="BB26" s="6"/>
      <c r="BC26" s="4"/>
      <c r="BD26" s="12"/>
    </row>
    <row r="27" customFormat="false" ht="23.8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2" t="n">
        <f aca="false">SUM(F27:I27)</f>
        <v>0</v>
      </c>
      <c r="K27" s="6"/>
      <c r="L27" s="6"/>
      <c r="M27" s="7"/>
      <c r="N27" s="7"/>
      <c r="O27" s="8"/>
      <c r="P27" s="8"/>
      <c r="Q27" s="8"/>
      <c r="R27" s="8"/>
      <c r="S27" s="8"/>
      <c r="T27" s="6"/>
      <c r="U27" s="6"/>
      <c r="V27" s="6"/>
      <c r="W27" s="6"/>
      <c r="X27" s="8"/>
      <c r="Y27" s="6"/>
      <c r="Z27" s="6"/>
      <c r="AA27" s="7"/>
      <c r="AB27" s="9" t="str">
        <f aca="false">IF(N27="","",MAX(0,N27-AA27))</f>
        <v/>
      </c>
      <c r="AC27" s="10" t="str">
        <f aca="false">IF(N27="","",IF(N27=0,0,AA27/N27))</f>
        <v/>
      </c>
      <c r="AD27" s="8"/>
      <c r="AE27" s="6"/>
      <c r="AF27" s="6"/>
      <c r="AG27" s="6"/>
      <c r="AH27" s="6"/>
      <c r="AI27" s="2" t="str">
        <f aca="false">IF(A27="","",IF(V27="Yes",IF(U27="Yes",1,2),""))</f>
        <v/>
      </c>
      <c r="AJ27" s="8"/>
      <c r="AK27" s="2" t="str">
        <f aca="false">IF(A27="","",IF(AJ27="","",COUNTIFS($E$2:$E$201,E27,$AI$2:$AI$201,AI27,$AJ$2:$AJ$201,"&lt;="&amp;AJ27)))</f>
        <v/>
      </c>
      <c r="AL27" s="2" t="str">
        <f aca="false">IF(A27="","",IF(AH27&lt;&gt;"Confirmado","No",IF(AG27="CO/SO₂ simultáneos",IF(OR(COUNTIFS($E$2:$E$201,E27,$AH$2:$AH$201,"Confirmado",$AG$2:$AG$201,"CO/SO₂ simultáneos")=3,SUMIFS($J$2:$J$201,$E$2:$E$201,E27,$AH$2:$AH$201,"Confirmado",$AG$2:$AG$201,"CO/SO₂ simultáneos")=6),"Sí","No"),IF(OR(AND(F27&gt;0,SUMIFS($F$2:$F$201,$E$2:$E$201,E27,$AH$2:$AH$201,"Confirmado")=4),AND(G27&gt;0,SUMIFS($G$2:$G$201,$E$2:$E$201,E27,$AH$2:$AH$201,"Confirmado")=4),AND(H27&gt;0,SUMIFS($H$2:$H$201,$E$2:$E$201,E27,$AH$2:$AH$201,"Confirmado")=4),AND(I27&gt;0,SUMIFS($I$2:$I$201,$E$2:$E$201,E27,$AH$2:$AH$201,"Confirmado")=4)),"Sí","No"))))</f>
        <v/>
      </c>
      <c r="AM27" s="2" t="str">
        <f aca="false">IF(A27="","",IF(AH27&lt;&gt;"Confirmado","",IF(AG27="CO/SO₂ simultáneos",IF(OR(COUNTIFS($E$2:$E$201,E27,$AH$2:$AH$201,"Confirmado",$AG$2:$AG$201,"CO/SO₂ simultáneos")&gt;3,SUMIFS($J$2:$J$201,$E$2:$E$201,E27,$AH$2:$AH$201,"Confirmado",$AG$2:$AG$201,"CO/SO₂ simultáneos")&gt;6),"CAPACIDAD EXCEDIDA","OK"),IF(OR(SUMIFS($F$2:$F$201,$E$2:$E$201,E27,$AH$2:$AH$201,"Confirmado")&gt;4,SUMIFS($G$2:$G$201,$E$2:$E$201,E27,$AH$2:$AH$201,"Confirmado")&gt;4,SUMIFS($H$2:$H$201,$E$2:$E$201,E27,$AH$2:$AH$201,"Confirmado")&gt;4,SUMIFS($I$2:$I$201,$E$2:$E$201,E27,$AH$2:$AH$201,"Confirmado")&gt;4),"CAPACIDAD EXCEDIDA","OK"))))</f>
        <v/>
      </c>
      <c r="AN27" s="2" t="str">
        <f aca="true">IF(A27="","",IF(AND(AC27&lt;1,Q27&lt;TODAY(),AH27="Aceptado pendiente de pago/orden"),"PLAZO VENCIDO",IF(AND(AC27&lt;1,AD27&lt;&gt;"",AD27&lt;TODAY()),"VENCIDO","OK")))</f>
        <v/>
      </c>
      <c r="AO27" s="6"/>
      <c r="AP27" s="8"/>
      <c r="AQ27" s="6"/>
      <c r="AR27" s="6" t="s">
        <v>73</v>
      </c>
      <c r="AS27" s="6"/>
      <c r="AT27" s="6"/>
      <c r="AU27" s="6"/>
      <c r="AV27" s="6"/>
      <c r="AW27" s="8" t="str">
        <f aca="false">IF(AV27="","",AV27+60)</f>
        <v/>
      </c>
      <c r="AX27" s="11" t="str">
        <f aca="true">IF(A27="","",IF(AND(AV27&lt;&gt;"",AW27&lt;TODAY(),OR(AH27="Interés",AH27="Cotizado")),"Sí","No"))</f>
        <v/>
      </c>
      <c r="AY27" s="6"/>
      <c r="AZ27" s="6"/>
      <c r="BA27" s="6"/>
      <c r="BB27" s="6"/>
      <c r="BC27" s="4"/>
      <c r="BD27" s="12"/>
    </row>
    <row r="28" customFormat="false" ht="23.8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2" t="n">
        <f aca="false">SUM(F28:I28)</f>
        <v>0</v>
      </c>
      <c r="K28" s="6"/>
      <c r="L28" s="6"/>
      <c r="M28" s="7"/>
      <c r="N28" s="7"/>
      <c r="O28" s="8"/>
      <c r="P28" s="8"/>
      <c r="Q28" s="8"/>
      <c r="R28" s="8"/>
      <c r="S28" s="8"/>
      <c r="T28" s="6"/>
      <c r="U28" s="6"/>
      <c r="V28" s="6"/>
      <c r="W28" s="6"/>
      <c r="X28" s="8"/>
      <c r="Y28" s="6"/>
      <c r="Z28" s="6"/>
      <c r="AA28" s="7"/>
      <c r="AB28" s="9" t="str">
        <f aca="false">IF(N28="","",MAX(0,N28-AA28))</f>
        <v/>
      </c>
      <c r="AC28" s="10" t="str">
        <f aca="false">IF(N28="","",IF(N28=0,0,AA28/N28))</f>
        <v/>
      </c>
      <c r="AD28" s="8"/>
      <c r="AE28" s="6"/>
      <c r="AF28" s="6"/>
      <c r="AG28" s="6"/>
      <c r="AH28" s="6"/>
      <c r="AI28" s="2" t="str">
        <f aca="false">IF(A28="","",IF(V28="Yes",IF(U28="Yes",1,2),""))</f>
        <v/>
      </c>
      <c r="AJ28" s="8"/>
      <c r="AK28" s="2" t="str">
        <f aca="false">IF(A28="","",IF(AJ28="","",COUNTIFS($E$2:$E$201,E28,$AI$2:$AI$201,AI28,$AJ$2:$AJ$201,"&lt;="&amp;AJ28)))</f>
        <v/>
      </c>
      <c r="AL28" s="2" t="str">
        <f aca="false">IF(A28="","",IF(AH28&lt;&gt;"Confirmado","No",IF(AG28="CO/SO₂ simultáneos",IF(OR(COUNTIFS($E$2:$E$201,E28,$AH$2:$AH$201,"Confirmado",$AG$2:$AG$201,"CO/SO₂ simultáneos")=3,SUMIFS($J$2:$J$201,$E$2:$E$201,E28,$AH$2:$AH$201,"Confirmado",$AG$2:$AG$201,"CO/SO₂ simultáneos")=6),"Sí","No"),IF(OR(AND(F28&gt;0,SUMIFS($F$2:$F$201,$E$2:$E$201,E28,$AH$2:$AH$201,"Confirmado")=4),AND(G28&gt;0,SUMIFS($G$2:$G$201,$E$2:$E$201,E28,$AH$2:$AH$201,"Confirmado")=4),AND(H28&gt;0,SUMIFS($H$2:$H$201,$E$2:$E$201,E28,$AH$2:$AH$201,"Confirmado")=4),AND(I28&gt;0,SUMIFS($I$2:$I$201,$E$2:$E$201,E28,$AH$2:$AH$201,"Confirmado")=4)),"Sí","No"))))</f>
        <v/>
      </c>
      <c r="AM28" s="2" t="str">
        <f aca="false">IF(A28="","",IF(AH28&lt;&gt;"Confirmado","",IF(AG28="CO/SO₂ simultáneos",IF(OR(COUNTIFS($E$2:$E$201,E28,$AH$2:$AH$201,"Confirmado",$AG$2:$AG$201,"CO/SO₂ simultáneos")&gt;3,SUMIFS($J$2:$J$201,$E$2:$E$201,E28,$AH$2:$AH$201,"Confirmado",$AG$2:$AG$201,"CO/SO₂ simultáneos")&gt;6),"CAPACIDAD EXCEDIDA","OK"),IF(OR(SUMIFS($F$2:$F$201,$E$2:$E$201,E28,$AH$2:$AH$201,"Confirmado")&gt;4,SUMIFS($G$2:$G$201,$E$2:$E$201,E28,$AH$2:$AH$201,"Confirmado")&gt;4,SUMIFS($H$2:$H$201,$E$2:$E$201,E28,$AH$2:$AH$201,"Confirmado")&gt;4,SUMIFS($I$2:$I$201,$E$2:$E$201,E28,$AH$2:$AH$201,"Confirmado")&gt;4),"CAPACIDAD EXCEDIDA","OK"))))</f>
        <v/>
      </c>
      <c r="AN28" s="2" t="str">
        <f aca="true">IF(A28="","",IF(AND(AC28&lt;1,Q28&lt;TODAY(),AH28="Aceptado pendiente de pago/orden"),"PLAZO VENCIDO",IF(AND(AC28&lt;1,AD28&lt;&gt;"",AD28&lt;TODAY()),"VENCIDO","OK")))</f>
        <v/>
      </c>
      <c r="AO28" s="6"/>
      <c r="AP28" s="8"/>
      <c r="AQ28" s="6"/>
      <c r="AR28" s="6" t="s">
        <v>73</v>
      </c>
      <c r="AS28" s="6"/>
      <c r="AT28" s="6"/>
      <c r="AU28" s="6"/>
      <c r="AV28" s="6"/>
      <c r="AW28" s="8" t="str">
        <f aca="false">IF(AV28="","",AV28+60)</f>
        <v/>
      </c>
      <c r="AX28" s="11" t="str">
        <f aca="true">IF(A28="","",IF(AND(AV28&lt;&gt;"",AW28&lt;TODAY(),OR(AH28="Interés",AH28="Cotizado")),"Sí","No"))</f>
        <v/>
      </c>
      <c r="AY28" s="6"/>
      <c r="AZ28" s="6"/>
      <c r="BA28" s="6"/>
      <c r="BB28" s="6"/>
      <c r="BC28" s="4"/>
      <c r="BD28" s="12"/>
    </row>
    <row r="29" customFormat="false" ht="23.8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2" t="n">
        <f aca="false">SUM(F29:I29)</f>
        <v>0</v>
      </c>
      <c r="K29" s="6"/>
      <c r="L29" s="6"/>
      <c r="M29" s="7"/>
      <c r="N29" s="7"/>
      <c r="O29" s="8"/>
      <c r="P29" s="8"/>
      <c r="Q29" s="8"/>
      <c r="R29" s="8"/>
      <c r="S29" s="8"/>
      <c r="T29" s="6"/>
      <c r="U29" s="6"/>
      <c r="V29" s="6"/>
      <c r="W29" s="6"/>
      <c r="X29" s="8"/>
      <c r="Y29" s="6"/>
      <c r="Z29" s="6"/>
      <c r="AA29" s="7"/>
      <c r="AB29" s="9" t="str">
        <f aca="false">IF(N29="","",MAX(0,N29-AA29))</f>
        <v/>
      </c>
      <c r="AC29" s="10" t="str">
        <f aca="false">IF(N29="","",IF(N29=0,0,AA29/N29))</f>
        <v/>
      </c>
      <c r="AD29" s="8"/>
      <c r="AE29" s="6"/>
      <c r="AF29" s="6"/>
      <c r="AG29" s="6"/>
      <c r="AH29" s="6"/>
      <c r="AI29" s="2" t="str">
        <f aca="false">IF(A29="","",IF(V29="Yes",IF(U29="Yes",1,2),""))</f>
        <v/>
      </c>
      <c r="AJ29" s="8"/>
      <c r="AK29" s="2" t="str">
        <f aca="false">IF(A29="","",IF(AJ29="","",COUNTIFS($E$2:$E$201,E29,$AI$2:$AI$201,AI29,$AJ$2:$AJ$201,"&lt;="&amp;AJ29)))</f>
        <v/>
      </c>
      <c r="AL29" s="2" t="str">
        <f aca="false">IF(A29="","",IF(AH29&lt;&gt;"Confirmado","No",IF(AG29="CO/SO₂ simultáneos",IF(OR(COUNTIFS($E$2:$E$201,E29,$AH$2:$AH$201,"Confirmado",$AG$2:$AG$201,"CO/SO₂ simultáneos")=3,SUMIFS($J$2:$J$201,$E$2:$E$201,E29,$AH$2:$AH$201,"Confirmado",$AG$2:$AG$201,"CO/SO₂ simultáneos")=6),"Sí","No"),IF(OR(AND(F29&gt;0,SUMIFS($F$2:$F$201,$E$2:$E$201,E29,$AH$2:$AH$201,"Confirmado")=4),AND(G29&gt;0,SUMIFS($G$2:$G$201,$E$2:$E$201,E29,$AH$2:$AH$201,"Confirmado")=4),AND(H29&gt;0,SUMIFS($H$2:$H$201,$E$2:$E$201,E29,$AH$2:$AH$201,"Confirmado")=4),AND(I29&gt;0,SUMIFS($I$2:$I$201,$E$2:$E$201,E29,$AH$2:$AH$201,"Confirmado")=4)),"Sí","No"))))</f>
        <v/>
      </c>
      <c r="AM29" s="2" t="str">
        <f aca="false">IF(A29="","",IF(AH29&lt;&gt;"Confirmado","",IF(AG29="CO/SO₂ simultáneos",IF(OR(COUNTIFS($E$2:$E$201,E29,$AH$2:$AH$201,"Confirmado",$AG$2:$AG$201,"CO/SO₂ simultáneos")&gt;3,SUMIFS($J$2:$J$201,$E$2:$E$201,E29,$AH$2:$AH$201,"Confirmado",$AG$2:$AG$201,"CO/SO₂ simultáneos")&gt;6),"CAPACIDAD EXCEDIDA","OK"),IF(OR(SUMIFS($F$2:$F$201,$E$2:$E$201,E29,$AH$2:$AH$201,"Confirmado")&gt;4,SUMIFS($G$2:$G$201,$E$2:$E$201,E29,$AH$2:$AH$201,"Confirmado")&gt;4,SUMIFS($H$2:$H$201,$E$2:$E$201,E29,$AH$2:$AH$201,"Confirmado")&gt;4,SUMIFS($I$2:$I$201,$E$2:$E$201,E29,$AH$2:$AH$201,"Confirmado")&gt;4),"CAPACIDAD EXCEDIDA","OK"))))</f>
        <v/>
      </c>
      <c r="AN29" s="2" t="str">
        <f aca="true">IF(A29="","",IF(AND(AC29&lt;1,Q29&lt;TODAY(),AH29="Aceptado pendiente de pago/orden"),"PLAZO VENCIDO",IF(AND(AC29&lt;1,AD29&lt;&gt;"",AD29&lt;TODAY()),"VENCIDO","OK")))</f>
        <v/>
      </c>
      <c r="AO29" s="6"/>
      <c r="AP29" s="8"/>
      <c r="AQ29" s="6"/>
      <c r="AR29" s="6" t="s">
        <v>73</v>
      </c>
      <c r="AS29" s="6"/>
      <c r="AT29" s="6"/>
      <c r="AU29" s="6"/>
      <c r="AV29" s="6"/>
      <c r="AW29" s="8" t="str">
        <f aca="false">IF(AV29="","",AV29+60)</f>
        <v/>
      </c>
      <c r="AX29" s="11" t="str">
        <f aca="true">IF(A29="","",IF(AND(AV29&lt;&gt;"",AW29&lt;TODAY(),OR(AH29="Interés",AH29="Cotizado")),"Sí","No"))</f>
        <v/>
      </c>
      <c r="AY29" s="6"/>
      <c r="AZ29" s="6"/>
      <c r="BA29" s="6"/>
      <c r="BB29" s="6"/>
      <c r="BC29" s="4"/>
      <c r="BD29" s="12"/>
    </row>
    <row r="30" customFormat="false" ht="23.8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2" t="n">
        <f aca="false">SUM(F30:I30)</f>
        <v>0</v>
      </c>
      <c r="K30" s="6"/>
      <c r="L30" s="6"/>
      <c r="M30" s="7"/>
      <c r="N30" s="7"/>
      <c r="O30" s="8"/>
      <c r="P30" s="8"/>
      <c r="Q30" s="8"/>
      <c r="R30" s="8"/>
      <c r="S30" s="8"/>
      <c r="T30" s="6"/>
      <c r="U30" s="6"/>
      <c r="V30" s="6"/>
      <c r="W30" s="6"/>
      <c r="X30" s="8"/>
      <c r="Y30" s="6"/>
      <c r="Z30" s="6"/>
      <c r="AA30" s="7"/>
      <c r="AB30" s="9" t="str">
        <f aca="false">IF(N30="","",MAX(0,N30-AA30))</f>
        <v/>
      </c>
      <c r="AC30" s="10" t="str">
        <f aca="false">IF(N30="","",IF(N30=0,0,AA30/N30))</f>
        <v/>
      </c>
      <c r="AD30" s="8"/>
      <c r="AE30" s="6"/>
      <c r="AF30" s="6"/>
      <c r="AG30" s="6"/>
      <c r="AH30" s="6"/>
      <c r="AI30" s="2" t="str">
        <f aca="false">IF(A30="","",IF(V30="Yes",IF(U30="Yes",1,2),""))</f>
        <v/>
      </c>
      <c r="AJ30" s="8"/>
      <c r="AK30" s="2" t="str">
        <f aca="false">IF(A30="","",IF(AJ30="","",COUNTIFS($E$2:$E$201,E30,$AI$2:$AI$201,AI30,$AJ$2:$AJ$201,"&lt;="&amp;AJ30)))</f>
        <v/>
      </c>
      <c r="AL30" s="2" t="str">
        <f aca="false">IF(A30="","",IF(AH30&lt;&gt;"Confirmado","No",IF(AG30="CO/SO₂ simultáneos",IF(OR(COUNTIFS($E$2:$E$201,E30,$AH$2:$AH$201,"Confirmado",$AG$2:$AG$201,"CO/SO₂ simultáneos")=3,SUMIFS($J$2:$J$201,$E$2:$E$201,E30,$AH$2:$AH$201,"Confirmado",$AG$2:$AG$201,"CO/SO₂ simultáneos")=6),"Sí","No"),IF(OR(AND(F30&gt;0,SUMIFS($F$2:$F$201,$E$2:$E$201,E30,$AH$2:$AH$201,"Confirmado")=4),AND(G30&gt;0,SUMIFS($G$2:$G$201,$E$2:$E$201,E30,$AH$2:$AH$201,"Confirmado")=4),AND(H30&gt;0,SUMIFS($H$2:$H$201,$E$2:$E$201,E30,$AH$2:$AH$201,"Confirmado")=4),AND(I30&gt;0,SUMIFS($I$2:$I$201,$E$2:$E$201,E30,$AH$2:$AH$201,"Confirmado")=4)),"Sí","No"))))</f>
        <v/>
      </c>
      <c r="AM30" s="2" t="str">
        <f aca="false">IF(A30="","",IF(AH30&lt;&gt;"Confirmado","",IF(AG30="CO/SO₂ simultáneos",IF(OR(COUNTIFS($E$2:$E$201,E30,$AH$2:$AH$201,"Confirmado",$AG$2:$AG$201,"CO/SO₂ simultáneos")&gt;3,SUMIFS($J$2:$J$201,$E$2:$E$201,E30,$AH$2:$AH$201,"Confirmado",$AG$2:$AG$201,"CO/SO₂ simultáneos")&gt;6),"CAPACIDAD EXCEDIDA","OK"),IF(OR(SUMIFS($F$2:$F$201,$E$2:$E$201,E30,$AH$2:$AH$201,"Confirmado")&gt;4,SUMIFS($G$2:$G$201,$E$2:$E$201,E30,$AH$2:$AH$201,"Confirmado")&gt;4,SUMIFS($H$2:$H$201,$E$2:$E$201,E30,$AH$2:$AH$201,"Confirmado")&gt;4,SUMIFS($I$2:$I$201,$E$2:$E$201,E30,$AH$2:$AH$201,"Confirmado")&gt;4),"CAPACIDAD EXCEDIDA","OK"))))</f>
        <v/>
      </c>
      <c r="AN30" s="2" t="str">
        <f aca="true">IF(A30="","",IF(AND(AC30&lt;1,Q30&lt;TODAY(),AH30="Aceptado pendiente de pago/orden"),"PLAZO VENCIDO",IF(AND(AC30&lt;1,AD30&lt;&gt;"",AD30&lt;TODAY()),"VENCIDO","OK")))</f>
        <v/>
      </c>
      <c r="AO30" s="6"/>
      <c r="AP30" s="8"/>
      <c r="AQ30" s="6"/>
      <c r="AR30" s="6" t="s">
        <v>73</v>
      </c>
      <c r="AS30" s="6"/>
      <c r="AT30" s="6"/>
      <c r="AU30" s="6"/>
      <c r="AV30" s="6"/>
      <c r="AW30" s="8" t="str">
        <f aca="false">IF(AV30="","",AV30+60)</f>
        <v/>
      </c>
      <c r="AX30" s="11" t="str">
        <f aca="true">IF(A30="","",IF(AND(AV30&lt;&gt;"",AW30&lt;TODAY(),OR(AH30="Interés",AH30="Cotizado")),"Sí","No"))</f>
        <v/>
      </c>
      <c r="AY30" s="6"/>
      <c r="AZ30" s="6"/>
      <c r="BA30" s="6"/>
      <c r="BB30" s="6"/>
      <c r="BC30" s="4"/>
      <c r="BD30" s="12"/>
    </row>
    <row r="31" customFormat="false" ht="23.8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2" t="n">
        <f aca="false">SUM(F31:I31)</f>
        <v>0</v>
      </c>
      <c r="K31" s="6"/>
      <c r="L31" s="6"/>
      <c r="M31" s="7"/>
      <c r="N31" s="7"/>
      <c r="O31" s="8"/>
      <c r="P31" s="8"/>
      <c r="Q31" s="8"/>
      <c r="R31" s="8"/>
      <c r="S31" s="8"/>
      <c r="T31" s="6"/>
      <c r="U31" s="6"/>
      <c r="V31" s="6"/>
      <c r="W31" s="6"/>
      <c r="X31" s="8"/>
      <c r="Y31" s="6"/>
      <c r="Z31" s="6"/>
      <c r="AA31" s="7"/>
      <c r="AB31" s="9" t="str">
        <f aca="false">IF(N31="","",MAX(0,N31-AA31))</f>
        <v/>
      </c>
      <c r="AC31" s="10" t="str">
        <f aca="false">IF(N31="","",IF(N31=0,0,AA31/N31))</f>
        <v/>
      </c>
      <c r="AD31" s="8"/>
      <c r="AE31" s="6"/>
      <c r="AF31" s="6"/>
      <c r="AG31" s="6"/>
      <c r="AH31" s="6"/>
      <c r="AI31" s="2" t="str">
        <f aca="false">IF(A31="","",IF(V31="Yes",IF(U31="Yes",1,2),""))</f>
        <v/>
      </c>
      <c r="AJ31" s="8"/>
      <c r="AK31" s="2" t="str">
        <f aca="false">IF(A31="","",IF(AJ31="","",COUNTIFS($E$2:$E$201,E31,$AI$2:$AI$201,AI31,$AJ$2:$AJ$201,"&lt;="&amp;AJ31)))</f>
        <v/>
      </c>
      <c r="AL31" s="2" t="str">
        <f aca="false">IF(A31="","",IF(AH31&lt;&gt;"Confirmado","No",IF(AG31="CO/SO₂ simultáneos",IF(OR(COUNTIFS($E$2:$E$201,E31,$AH$2:$AH$201,"Confirmado",$AG$2:$AG$201,"CO/SO₂ simultáneos")=3,SUMIFS($J$2:$J$201,$E$2:$E$201,E31,$AH$2:$AH$201,"Confirmado",$AG$2:$AG$201,"CO/SO₂ simultáneos")=6),"Sí","No"),IF(OR(AND(F31&gt;0,SUMIFS($F$2:$F$201,$E$2:$E$201,E31,$AH$2:$AH$201,"Confirmado")=4),AND(G31&gt;0,SUMIFS($G$2:$G$201,$E$2:$E$201,E31,$AH$2:$AH$201,"Confirmado")=4),AND(H31&gt;0,SUMIFS($H$2:$H$201,$E$2:$E$201,E31,$AH$2:$AH$201,"Confirmado")=4),AND(I31&gt;0,SUMIFS($I$2:$I$201,$E$2:$E$201,E31,$AH$2:$AH$201,"Confirmado")=4)),"Sí","No"))))</f>
        <v/>
      </c>
      <c r="AM31" s="2" t="str">
        <f aca="false">IF(A31="","",IF(AH31&lt;&gt;"Confirmado","",IF(AG31="CO/SO₂ simultáneos",IF(OR(COUNTIFS($E$2:$E$201,E31,$AH$2:$AH$201,"Confirmado",$AG$2:$AG$201,"CO/SO₂ simultáneos")&gt;3,SUMIFS($J$2:$J$201,$E$2:$E$201,E31,$AH$2:$AH$201,"Confirmado",$AG$2:$AG$201,"CO/SO₂ simultáneos")&gt;6),"CAPACIDAD EXCEDIDA","OK"),IF(OR(SUMIFS($F$2:$F$201,$E$2:$E$201,E31,$AH$2:$AH$201,"Confirmado")&gt;4,SUMIFS($G$2:$G$201,$E$2:$E$201,E31,$AH$2:$AH$201,"Confirmado")&gt;4,SUMIFS($H$2:$H$201,$E$2:$E$201,E31,$AH$2:$AH$201,"Confirmado")&gt;4,SUMIFS($I$2:$I$201,$E$2:$E$201,E31,$AH$2:$AH$201,"Confirmado")&gt;4),"CAPACIDAD EXCEDIDA","OK"))))</f>
        <v/>
      </c>
      <c r="AN31" s="2" t="str">
        <f aca="true">IF(A31="","",IF(AND(AC31&lt;1,Q31&lt;TODAY(),AH31="Aceptado pendiente de pago/orden"),"PLAZO VENCIDO",IF(AND(AC31&lt;1,AD31&lt;&gt;"",AD31&lt;TODAY()),"VENCIDO","OK")))</f>
        <v/>
      </c>
      <c r="AO31" s="6"/>
      <c r="AP31" s="8"/>
      <c r="AQ31" s="6"/>
      <c r="AR31" s="6" t="s">
        <v>73</v>
      </c>
      <c r="AS31" s="6"/>
      <c r="AT31" s="6"/>
      <c r="AU31" s="6"/>
      <c r="AV31" s="6"/>
      <c r="AW31" s="8" t="str">
        <f aca="false">IF(AV31="","",AV31+60)</f>
        <v/>
      </c>
      <c r="AX31" s="11" t="str">
        <f aca="true">IF(A31="","",IF(AND(AV31&lt;&gt;"",AW31&lt;TODAY(),OR(AH31="Interés",AH31="Cotizado")),"Sí","No"))</f>
        <v/>
      </c>
      <c r="AY31" s="6"/>
      <c r="AZ31" s="6"/>
      <c r="BA31" s="6"/>
      <c r="BB31" s="6"/>
      <c r="BC31" s="4"/>
      <c r="BD31" s="12"/>
    </row>
    <row r="32" customFormat="false" ht="23.8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2" t="n">
        <f aca="false">SUM(F32:I32)</f>
        <v>0</v>
      </c>
      <c r="K32" s="6"/>
      <c r="L32" s="6"/>
      <c r="M32" s="7"/>
      <c r="N32" s="7"/>
      <c r="O32" s="8"/>
      <c r="P32" s="8"/>
      <c r="Q32" s="8"/>
      <c r="R32" s="8"/>
      <c r="S32" s="8"/>
      <c r="T32" s="6"/>
      <c r="U32" s="6"/>
      <c r="V32" s="6"/>
      <c r="W32" s="6"/>
      <c r="X32" s="8"/>
      <c r="Y32" s="6"/>
      <c r="Z32" s="6"/>
      <c r="AA32" s="7"/>
      <c r="AB32" s="9" t="str">
        <f aca="false">IF(N32="","",MAX(0,N32-AA32))</f>
        <v/>
      </c>
      <c r="AC32" s="10" t="str">
        <f aca="false">IF(N32="","",IF(N32=0,0,AA32/N32))</f>
        <v/>
      </c>
      <c r="AD32" s="8"/>
      <c r="AE32" s="6"/>
      <c r="AF32" s="6"/>
      <c r="AG32" s="6"/>
      <c r="AH32" s="6"/>
      <c r="AI32" s="2" t="str">
        <f aca="false">IF(A32="","",IF(V32="Yes",IF(U32="Yes",1,2),""))</f>
        <v/>
      </c>
      <c r="AJ32" s="8"/>
      <c r="AK32" s="2" t="str">
        <f aca="false">IF(A32="","",IF(AJ32="","",COUNTIFS($E$2:$E$201,E32,$AI$2:$AI$201,AI32,$AJ$2:$AJ$201,"&lt;="&amp;AJ32)))</f>
        <v/>
      </c>
      <c r="AL32" s="2" t="str">
        <f aca="false">IF(A32="","",IF(AH32&lt;&gt;"Confirmado","No",IF(AG32="CO/SO₂ simultáneos",IF(OR(COUNTIFS($E$2:$E$201,E32,$AH$2:$AH$201,"Confirmado",$AG$2:$AG$201,"CO/SO₂ simultáneos")=3,SUMIFS($J$2:$J$201,$E$2:$E$201,E32,$AH$2:$AH$201,"Confirmado",$AG$2:$AG$201,"CO/SO₂ simultáneos")=6),"Sí","No"),IF(OR(AND(F32&gt;0,SUMIFS($F$2:$F$201,$E$2:$E$201,E32,$AH$2:$AH$201,"Confirmado")=4),AND(G32&gt;0,SUMIFS($G$2:$G$201,$E$2:$E$201,E32,$AH$2:$AH$201,"Confirmado")=4),AND(H32&gt;0,SUMIFS($H$2:$H$201,$E$2:$E$201,E32,$AH$2:$AH$201,"Confirmado")=4),AND(I32&gt;0,SUMIFS($I$2:$I$201,$E$2:$E$201,E32,$AH$2:$AH$201,"Confirmado")=4)),"Sí","No"))))</f>
        <v/>
      </c>
      <c r="AM32" s="2" t="str">
        <f aca="false">IF(A32="","",IF(AH32&lt;&gt;"Confirmado","",IF(AG32="CO/SO₂ simultáneos",IF(OR(COUNTIFS($E$2:$E$201,E32,$AH$2:$AH$201,"Confirmado",$AG$2:$AG$201,"CO/SO₂ simultáneos")&gt;3,SUMIFS($J$2:$J$201,$E$2:$E$201,E32,$AH$2:$AH$201,"Confirmado",$AG$2:$AG$201,"CO/SO₂ simultáneos")&gt;6),"CAPACIDAD EXCEDIDA","OK"),IF(OR(SUMIFS($F$2:$F$201,$E$2:$E$201,E32,$AH$2:$AH$201,"Confirmado")&gt;4,SUMIFS($G$2:$G$201,$E$2:$E$201,E32,$AH$2:$AH$201,"Confirmado")&gt;4,SUMIFS($H$2:$H$201,$E$2:$E$201,E32,$AH$2:$AH$201,"Confirmado")&gt;4,SUMIFS($I$2:$I$201,$E$2:$E$201,E32,$AH$2:$AH$201,"Confirmado")&gt;4),"CAPACIDAD EXCEDIDA","OK"))))</f>
        <v/>
      </c>
      <c r="AN32" s="2" t="str">
        <f aca="true">IF(A32="","",IF(AND(AC32&lt;1,Q32&lt;TODAY(),AH32="Aceptado pendiente de pago/orden"),"PLAZO VENCIDO",IF(AND(AC32&lt;1,AD32&lt;&gt;"",AD32&lt;TODAY()),"VENCIDO","OK")))</f>
        <v/>
      </c>
      <c r="AO32" s="6"/>
      <c r="AP32" s="8"/>
      <c r="AQ32" s="6"/>
      <c r="AR32" s="6" t="s">
        <v>73</v>
      </c>
      <c r="AS32" s="6"/>
      <c r="AT32" s="6"/>
      <c r="AU32" s="6"/>
      <c r="AV32" s="6"/>
      <c r="AW32" s="8" t="str">
        <f aca="false">IF(AV32="","",AV32+60)</f>
        <v/>
      </c>
      <c r="AX32" s="11" t="str">
        <f aca="true">IF(A32="","",IF(AND(AV32&lt;&gt;"",AW32&lt;TODAY(),OR(AH32="Interés",AH32="Cotizado")),"Sí","No"))</f>
        <v/>
      </c>
      <c r="AY32" s="6"/>
      <c r="AZ32" s="6"/>
      <c r="BA32" s="6"/>
      <c r="BB32" s="6"/>
      <c r="BC32" s="4"/>
      <c r="BD32" s="12"/>
    </row>
    <row r="33" customFormat="false" ht="23.8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2" t="n">
        <f aca="false">SUM(F33:I33)</f>
        <v>0</v>
      </c>
      <c r="K33" s="6"/>
      <c r="L33" s="6"/>
      <c r="M33" s="7"/>
      <c r="N33" s="7"/>
      <c r="O33" s="8"/>
      <c r="P33" s="8"/>
      <c r="Q33" s="8"/>
      <c r="R33" s="8"/>
      <c r="S33" s="8"/>
      <c r="T33" s="6"/>
      <c r="U33" s="6"/>
      <c r="V33" s="6"/>
      <c r="W33" s="6"/>
      <c r="X33" s="8"/>
      <c r="Y33" s="6"/>
      <c r="Z33" s="6"/>
      <c r="AA33" s="7"/>
      <c r="AB33" s="9" t="str">
        <f aca="false">IF(N33="","",MAX(0,N33-AA33))</f>
        <v/>
      </c>
      <c r="AC33" s="10" t="str">
        <f aca="false">IF(N33="","",IF(N33=0,0,AA33/N33))</f>
        <v/>
      </c>
      <c r="AD33" s="8"/>
      <c r="AE33" s="6"/>
      <c r="AF33" s="6"/>
      <c r="AG33" s="6"/>
      <c r="AH33" s="6"/>
      <c r="AI33" s="2" t="str">
        <f aca="false">IF(A33="","",IF(V33="Yes",IF(U33="Yes",1,2),""))</f>
        <v/>
      </c>
      <c r="AJ33" s="8"/>
      <c r="AK33" s="2" t="str">
        <f aca="false">IF(A33="","",IF(AJ33="","",COUNTIFS($E$2:$E$201,E33,$AI$2:$AI$201,AI33,$AJ$2:$AJ$201,"&lt;="&amp;AJ33)))</f>
        <v/>
      </c>
      <c r="AL33" s="2" t="str">
        <f aca="false">IF(A33="","",IF(AH33&lt;&gt;"Confirmado","No",IF(AG33="CO/SO₂ simultáneos",IF(OR(COUNTIFS($E$2:$E$201,E33,$AH$2:$AH$201,"Confirmado",$AG$2:$AG$201,"CO/SO₂ simultáneos")=3,SUMIFS($J$2:$J$201,$E$2:$E$201,E33,$AH$2:$AH$201,"Confirmado",$AG$2:$AG$201,"CO/SO₂ simultáneos")=6),"Sí","No"),IF(OR(AND(F33&gt;0,SUMIFS($F$2:$F$201,$E$2:$E$201,E33,$AH$2:$AH$201,"Confirmado")=4),AND(G33&gt;0,SUMIFS($G$2:$G$201,$E$2:$E$201,E33,$AH$2:$AH$201,"Confirmado")=4),AND(H33&gt;0,SUMIFS($H$2:$H$201,$E$2:$E$201,E33,$AH$2:$AH$201,"Confirmado")=4),AND(I33&gt;0,SUMIFS($I$2:$I$201,$E$2:$E$201,E33,$AH$2:$AH$201,"Confirmado")=4)),"Sí","No"))))</f>
        <v/>
      </c>
      <c r="AM33" s="2" t="str">
        <f aca="false">IF(A33="","",IF(AH33&lt;&gt;"Confirmado","",IF(AG33="CO/SO₂ simultáneos",IF(OR(COUNTIFS($E$2:$E$201,E33,$AH$2:$AH$201,"Confirmado",$AG$2:$AG$201,"CO/SO₂ simultáneos")&gt;3,SUMIFS($J$2:$J$201,$E$2:$E$201,E33,$AH$2:$AH$201,"Confirmado",$AG$2:$AG$201,"CO/SO₂ simultáneos")&gt;6),"CAPACIDAD EXCEDIDA","OK"),IF(OR(SUMIFS($F$2:$F$201,$E$2:$E$201,E33,$AH$2:$AH$201,"Confirmado")&gt;4,SUMIFS($G$2:$G$201,$E$2:$E$201,E33,$AH$2:$AH$201,"Confirmado")&gt;4,SUMIFS($H$2:$H$201,$E$2:$E$201,E33,$AH$2:$AH$201,"Confirmado")&gt;4,SUMIFS($I$2:$I$201,$E$2:$E$201,E33,$AH$2:$AH$201,"Confirmado")&gt;4),"CAPACIDAD EXCEDIDA","OK"))))</f>
        <v/>
      </c>
      <c r="AN33" s="2" t="str">
        <f aca="true">IF(A33="","",IF(AND(AC33&lt;1,Q33&lt;TODAY(),AH33="Aceptado pendiente de pago/orden"),"PLAZO VENCIDO",IF(AND(AC33&lt;1,AD33&lt;&gt;"",AD33&lt;TODAY()),"VENCIDO","OK")))</f>
        <v/>
      </c>
      <c r="AO33" s="6"/>
      <c r="AP33" s="8"/>
      <c r="AQ33" s="6"/>
      <c r="AR33" s="6" t="s">
        <v>73</v>
      </c>
      <c r="AS33" s="6"/>
      <c r="AT33" s="6"/>
      <c r="AU33" s="6"/>
      <c r="AV33" s="6"/>
      <c r="AW33" s="8" t="str">
        <f aca="false">IF(AV33="","",AV33+60)</f>
        <v/>
      </c>
      <c r="AX33" s="11" t="str">
        <f aca="true">IF(A33="","",IF(AND(AV33&lt;&gt;"",AW33&lt;TODAY(),OR(AH33="Interés",AH33="Cotizado")),"Sí","No"))</f>
        <v/>
      </c>
      <c r="AY33" s="6"/>
      <c r="AZ33" s="6"/>
      <c r="BA33" s="6"/>
      <c r="BB33" s="6"/>
      <c r="BC33" s="4"/>
      <c r="BD33" s="12"/>
    </row>
    <row r="34" customFormat="false" ht="23.8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2" t="n">
        <f aca="false">SUM(F34:I34)</f>
        <v>0</v>
      </c>
      <c r="K34" s="6"/>
      <c r="L34" s="6"/>
      <c r="M34" s="7"/>
      <c r="N34" s="7"/>
      <c r="O34" s="8"/>
      <c r="P34" s="8"/>
      <c r="Q34" s="8"/>
      <c r="R34" s="8"/>
      <c r="S34" s="8"/>
      <c r="T34" s="6"/>
      <c r="U34" s="6"/>
      <c r="V34" s="6"/>
      <c r="W34" s="6"/>
      <c r="X34" s="8"/>
      <c r="Y34" s="6"/>
      <c r="Z34" s="6"/>
      <c r="AA34" s="7"/>
      <c r="AB34" s="9" t="str">
        <f aca="false">IF(N34="","",MAX(0,N34-AA34))</f>
        <v/>
      </c>
      <c r="AC34" s="10" t="str">
        <f aca="false">IF(N34="","",IF(N34=0,0,AA34/N34))</f>
        <v/>
      </c>
      <c r="AD34" s="8"/>
      <c r="AE34" s="6"/>
      <c r="AF34" s="6"/>
      <c r="AG34" s="6"/>
      <c r="AH34" s="6"/>
      <c r="AI34" s="2" t="str">
        <f aca="false">IF(A34="","",IF(V34="Yes",IF(U34="Yes",1,2),""))</f>
        <v/>
      </c>
      <c r="AJ34" s="8"/>
      <c r="AK34" s="2" t="str">
        <f aca="false">IF(A34="","",IF(AJ34="","",COUNTIFS($E$2:$E$201,E34,$AI$2:$AI$201,AI34,$AJ$2:$AJ$201,"&lt;="&amp;AJ34)))</f>
        <v/>
      </c>
      <c r="AL34" s="2" t="str">
        <f aca="false">IF(A34="","",IF(AH34&lt;&gt;"Confirmado","No",IF(AG34="CO/SO₂ simultáneos",IF(OR(COUNTIFS($E$2:$E$201,E34,$AH$2:$AH$201,"Confirmado",$AG$2:$AG$201,"CO/SO₂ simultáneos")=3,SUMIFS($J$2:$J$201,$E$2:$E$201,E34,$AH$2:$AH$201,"Confirmado",$AG$2:$AG$201,"CO/SO₂ simultáneos")=6),"Sí","No"),IF(OR(AND(F34&gt;0,SUMIFS($F$2:$F$201,$E$2:$E$201,E34,$AH$2:$AH$201,"Confirmado")=4),AND(G34&gt;0,SUMIFS($G$2:$G$201,$E$2:$E$201,E34,$AH$2:$AH$201,"Confirmado")=4),AND(H34&gt;0,SUMIFS($H$2:$H$201,$E$2:$E$201,E34,$AH$2:$AH$201,"Confirmado")=4),AND(I34&gt;0,SUMIFS($I$2:$I$201,$E$2:$E$201,E34,$AH$2:$AH$201,"Confirmado")=4)),"Sí","No"))))</f>
        <v/>
      </c>
      <c r="AM34" s="2" t="str">
        <f aca="false">IF(A34="","",IF(AH34&lt;&gt;"Confirmado","",IF(AG34="CO/SO₂ simultáneos",IF(OR(COUNTIFS($E$2:$E$201,E34,$AH$2:$AH$201,"Confirmado",$AG$2:$AG$201,"CO/SO₂ simultáneos")&gt;3,SUMIFS($J$2:$J$201,$E$2:$E$201,E34,$AH$2:$AH$201,"Confirmado",$AG$2:$AG$201,"CO/SO₂ simultáneos")&gt;6),"CAPACIDAD EXCEDIDA","OK"),IF(OR(SUMIFS($F$2:$F$201,$E$2:$E$201,E34,$AH$2:$AH$201,"Confirmado")&gt;4,SUMIFS($G$2:$G$201,$E$2:$E$201,E34,$AH$2:$AH$201,"Confirmado")&gt;4,SUMIFS($H$2:$H$201,$E$2:$E$201,E34,$AH$2:$AH$201,"Confirmado")&gt;4,SUMIFS($I$2:$I$201,$E$2:$E$201,E34,$AH$2:$AH$201,"Confirmado")&gt;4),"CAPACIDAD EXCEDIDA","OK"))))</f>
        <v/>
      </c>
      <c r="AN34" s="2" t="str">
        <f aca="true">IF(A34="","",IF(AND(AC34&lt;1,Q34&lt;TODAY(),AH34="Aceptado pendiente de pago/orden"),"PLAZO VENCIDO",IF(AND(AC34&lt;1,AD34&lt;&gt;"",AD34&lt;TODAY()),"VENCIDO","OK")))</f>
        <v/>
      </c>
      <c r="AO34" s="6"/>
      <c r="AP34" s="8"/>
      <c r="AQ34" s="6"/>
      <c r="AR34" s="6" t="s">
        <v>73</v>
      </c>
      <c r="AS34" s="6"/>
      <c r="AT34" s="6"/>
      <c r="AU34" s="6"/>
      <c r="AV34" s="6"/>
      <c r="AW34" s="8" t="str">
        <f aca="false">IF(AV34="","",AV34+60)</f>
        <v/>
      </c>
      <c r="AX34" s="11" t="str">
        <f aca="true">IF(A34="","",IF(AND(AV34&lt;&gt;"",AW34&lt;TODAY(),OR(AH34="Interés",AH34="Cotizado")),"Sí","No"))</f>
        <v/>
      </c>
      <c r="AY34" s="6"/>
      <c r="AZ34" s="6"/>
      <c r="BA34" s="6"/>
      <c r="BB34" s="6"/>
      <c r="BC34" s="4"/>
      <c r="BD34" s="12"/>
    </row>
    <row r="35" customFormat="false" ht="23.8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2" t="n">
        <f aca="false">SUM(F35:I35)</f>
        <v>0</v>
      </c>
      <c r="K35" s="6"/>
      <c r="L35" s="6"/>
      <c r="M35" s="7"/>
      <c r="N35" s="7"/>
      <c r="O35" s="8"/>
      <c r="P35" s="8"/>
      <c r="Q35" s="8"/>
      <c r="R35" s="8"/>
      <c r="S35" s="8"/>
      <c r="T35" s="6"/>
      <c r="U35" s="6"/>
      <c r="V35" s="6"/>
      <c r="W35" s="6"/>
      <c r="X35" s="8"/>
      <c r="Y35" s="6"/>
      <c r="Z35" s="6"/>
      <c r="AA35" s="7"/>
      <c r="AB35" s="9" t="str">
        <f aca="false">IF(N35="","",MAX(0,N35-AA35))</f>
        <v/>
      </c>
      <c r="AC35" s="10" t="str">
        <f aca="false">IF(N35="","",IF(N35=0,0,AA35/N35))</f>
        <v/>
      </c>
      <c r="AD35" s="8"/>
      <c r="AE35" s="6"/>
      <c r="AF35" s="6"/>
      <c r="AG35" s="6"/>
      <c r="AH35" s="6"/>
      <c r="AI35" s="2" t="str">
        <f aca="false">IF(A35="","",IF(V35="Yes",IF(U35="Yes",1,2),""))</f>
        <v/>
      </c>
      <c r="AJ35" s="8"/>
      <c r="AK35" s="2" t="str">
        <f aca="false">IF(A35="","",IF(AJ35="","",COUNTIFS($E$2:$E$201,E35,$AI$2:$AI$201,AI35,$AJ$2:$AJ$201,"&lt;="&amp;AJ35)))</f>
        <v/>
      </c>
      <c r="AL35" s="2" t="str">
        <f aca="false">IF(A35="","",IF(AH35&lt;&gt;"Confirmado","No",IF(AG35="CO/SO₂ simultáneos",IF(OR(COUNTIFS($E$2:$E$201,E35,$AH$2:$AH$201,"Confirmado",$AG$2:$AG$201,"CO/SO₂ simultáneos")=3,SUMIFS($J$2:$J$201,$E$2:$E$201,E35,$AH$2:$AH$201,"Confirmado",$AG$2:$AG$201,"CO/SO₂ simultáneos")=6),"Sí","No"),IF(OR(AND(F35&gt;0,SUMIFS($F$2:$F$201,$E$2:$E$201,E35,$AH$2:$AH$201,"Confirmado")=4),AND(G35&gt;0,SUMIFS($G$2:$G$201,$E$2:$E$201,E35,$AH$2:$AH$201,"Confirmado")=4),AND(H35&gt;0,SUMIFS($H$2:$H$201,$E$2:$E$201,E35,$AH$2:$AH$201,"Confirmado")=4),AND(I35&gt;0,SUMIFS($I$2:$I$201,$E$2:$E$201,E35,$AH$2:$AH$201,"Confirmado")=4)),"Sí","No"))))</f>
        <v/>
      </c>
      <c r="AM35" s="2" t="str">
        <f aca="false">IF(A35="","",IF(AH35&lt;&gt;"Confirmado","",IF(AG35="CO/SO₂ simultáneos",IF(OR(COUNTIFS($E$2:$E$201,E35,$AH$2:$AH$201,"Confirmado",$AG$2:$AG$201,"CO/SO₂ simultáneos")&gt;3,SUMIFS($J$2:$J$201,$E$2:$E$201,E35,$AH$2:$AH$201,"Confirmado",$AG$2:$AG$201,"CO/SO₂ simultáneos")&gt;6),"CAPACIDAD EXCEDIDA","OK"),IF(OR(SUMIFS($F$2:$F$201,$E$2:$E$201,E35,$AH$2:$AH$201,"Confirmado")&gt;4,SUMIFS($G$2:$G$201,$E$2:$E$201,E35,$AH$2:$AH$201,"Confirmado")&gt;4,SUMIFS($H$2:$H$201,$E$2:$E$201,E35,$AH$2:$AH$201,"Confirmado")&gt;4,SUMIFS($I$2:$I$201,$E$2:$E$201,E35,$AH$2:$AH$201,"Confirmado")&gt;4),"CAPACIDAD EXCEDIDA","OK"))))</f>
        <v/>
      </c>
      <c r="AN35" s="2" t="str">
        <f aca="true">IF(A35="","",IF(AND(AC35&lt;1,Q35&lt;TODAY(),AH35="Aceptado pendiente de pago/orden"),"PLAZO VENCIDO",IF(AND(AC35&lt;1,AD35&lt;&gt;"",AD35&lt;TODAY()),"VENCIDO","OK")))</f>
        <v/>
      </c>
      <c r="AO35" s="6"/>
      <c r="AP35" s="8"/>
      <c r="AQ35" s="6"/>
      <c r="AR35" s="6" t="s">
        <v>73</v>
      </c>
      <c r="AS35" s="6"/>
      <c r="AT35" s="6"/>
      <c r="AU35" s="6"/>
      <c r="AV35" s="6"/>
      <c r="AW35" s="8" t="str">
        <f aca="false">IF(AV35="","",AV35+60)</f>
        <v/>
      </c>
      <c r="AX35" s="11" t="str">
        <f aca="true">IF(A35="","",IF(AND(AV35&lt;&gt;"",AW35&lt;TODAY(),OR(AH35="Interés",AH35="Cotizado")),"Sí","No"))</f>
        <v/>
      </c>
      <c r="AY35" s="6"/>
      <c r="AZ35" s="6"/>
      <c r="BA35" s="6"/>
      <c r="BB35" s="6"/>
      <c r="BC35" s="4"/>
      <c r="BD35" s="12"/>
    </row>
    <row r="36" customFormat="false" ht="23.8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2" t="n">
        <f aca="false">SUM(F36:I36)</f>
        <v>0</v>
      </c>
      <c r="K36" s="6"/>
      <c r="L36" s="6"/>
      <c r="M36" s="7"/>
      <c r="N36" s="7"/>
      <c r="O36" s="8"/>
      <c r="P36" s="8"/>
      <c r="Q36" s="8"/>
      <c r="R36" s="8"/>
      <c r="S36" s="8"/>
      <c r="T36" s="6"/>
      <c r="U36" s="6"/>
      <c r="V36" s="6"/>
      <c r="W36" s="6"/>
      <c r="X36" s="8"/>
      <c r="Y36" s="6"/>
      <c r="Z36" s="6"/>
      <c r="AA36" s="7"/>
      <c r="AB36" s="9" t="str">
        <f aca="false">IF(N36="","",MAX(0,N36-AA36))</f>
        <v/>
      </c>
      <c r="AC36" s="10" t="str">
        <f aca="false">IF(N36="","",IF(N36=0,0,AA36/N36))</f>
        <v/>
      </c>
      <c r="AD36" s="8"/>
      <c r="AE36" s="6"/>
      <c r="AF36" s="6"/>
      <c r="AG36" s="6"/>
      <c r="AH36" s="6"/>
      <c r="AI36" s="2" t="str">
        <f aca="false">IF(A36="","",IF(V36="Yes",IF(U36="Yes",1,2),""))</f>
        <v/>
      </c>
      <c r="AJ36" s="8"/>
      <c r="AK36" s="2" t="str">
        <f aca="false">IF(A36="","",IF(AJ36="","",COUNTIFS($E$2:$E$201,E36,$AI$2:$AI$201,AI36,$AJ$2:$AJ$201,"&lt;="&amp;AJ36)))</f>
        <v/>
      </c>
      <c r="AL36" s="2" t="str">
        <f aca="false">IF(A36="","",IF(AH36&lt;&gt;"Confirmado","No",IF(AG36="CO/SO₂ simultáneos",IF(OR(COUNTIFS($E$2:$E$201,E36,$AH$2:$AH$201,"Confirmado",$AG$2:$AG$201,"CO/SO₂ simultáneos")=3,SUMIFS($J$2:$J$201,$E$2:$E$201,E36,$AH$2:$AH$201,"Confirmado",$AG$2:$AG$201,"CO/SO₂ simultáneos")=6),"Sí","No"),IF(OR(AND(F36&gt;0,SUMIFS($F$2:$F$201,$E$2:$E$201,E36,$AH$2:$AH$201,"Confirmado")=4),AND(G36&gt;0,SUMIFS($G$2:$G$201,$E$2:$E$201,E36,$AH$2:$AH$201,"Confirmado")=4),AND(H36&gt;0,SUMIFS($H$2:$H$201,$E$2:$E$201,E36,$AH$2:$AH$201,"Confirmado")=4),AND(I36&gt;0,SUMIFS($I$2:$I$201,$E$2:$E$201,E36,$AH$2:$AH$201,"Confirmado")=4)),"Sí","No"))))</f>
        <v/>
      </c>
      <c r="AM36" s="2" t="str">
        <f aca="false">IF(A36="","",IF(AH36&lt;&gt;"Confirmado","",IF(AG36="CO/SO₂ simultáneos",IF(OR(COUNTIFS($E$2:$E$201,E36,$AH$2:$AH$201,"Confirmado",$AG$2:$AG$201,"CO/SO₂ simultáneos")&gt;3,SUMIFS($J$2:$J$201,$E$2:$E$201,E36,$AH$2:$AH$201,"Confirmado",$AG$2:$AG$201,"CO/SO₂ simultáneos")&gt;6),"CAPACIDAD EXCEDIDA","OK"),IF(OR(SUMIFS($F$2:$F$201,$E$2:$E$201,E36,$AH$2:$AH$201,"Confirmado")&gt;4,SUMIFS($G$2:$G$201,$E$2:$E$201,E36,$AH$2:$AH$201,"Confirmado")&gt;4,SUMIFS($H$2:$H$201,$E$2:$E$201,E36,$AH$2:$AH$201,"Confirmado")&gt;4,SUMIFS($I$2:$I$201,$E$2:$E$201,E36,$AH$2:$AH$201,"Confirmado")&gt;4),"CAPACIDAD EXCEDIDA","OK"))))</f>
        <v/>
      </c>
      <c r="AN36" s="2" t="str">
        <f aca="true">IF(A36="","",IF(AND(AC36&lt;1,Q36&lt;TODAY(),AH36="Aceptado pendiente de pago/orden"),"PLAZO VENCIDO",IF(AND(AC36&lt;1,AD36&lt;&gt;"",AD36&lt;TODAY()),"VENCIDO","OK")))</f>
        <v/>
      </c>
      <c r="AO36" s="6"/>
      <c r="AP36" s="8"/>
      <c r="AQ36" s="6"/>
      <c r="AR36" s="6" t="s">
        <v>73</v>
      </c>
      <c r="AS36" s="6"/>
      <c r="AT36" s="6"/>
      <c r="AU36" s="6"/>
      <c r="AV36" s="6"/>
      <c r="AW36" s="8" t="str">
        <f aca="false">IF(AV36="","",AV36+60)</f>
        <v/>
      </c>
      <c r="AX36" s="11" t="str">
        <f aca="true">IF(A36="","",IF(AND(AV36&lt;&gt;"",AW36&lt;TODAY(),OR(AH36="Interés",AH36="Cotizado")),"Sí","No"))</f>
        <v/>
      </c>
      <c r="AY36" s="6"/>
      <c r="AZ36" s="6"/>
      <c r="BA36" s="6"/>
      <c r="BB36" s="6"/>
      <c r="BC36" s="4"/>
      <c r="BD36" s="12"/>
    </row>
    <row r="37" customFormat="false" ht="23.8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2" t="n">
        <f aca="false">SUM(F37:I37)</f>
        <v>0</v>
      </c>
      <c r="K37" s="6"/>
      <c r="L37" s="6"/>
      <c r="M37" s="7"/>
      <c r="N37" s="7"/>
      <c r="O37" s="8"/>
      <c r="P37" s="8"/>
      <c r="Q37" s="8"/>
      <c r="R37" s="8"/>
      <c r="S37" s="8"/>
      <c r="T37" s="6"/>
      <c r="U37" s="6"/>
      <c r="V37" s="6"/>
      <c r="W37" s="6"/>
      <c r="X37" s="8"/>
      <c r="Y37" s="6"/>
      <c r="Z37" s="6"/>
      <c r="AA37" s="7"/>
      <c r="AB37" s="9" t="str">
        <f aca="false">IF(N37="","",MAX(0,N37-AA37))</f>
        <v/>
      </c>
      <c r="AC37" s="10" t="str">
        <f aca="false">IF(N37="","",IF(N37=0,0,AA37/N37))</f>
        <v/>
      </c>
      <c r="AD37" s="8"/>
      <c r="AE37" s="6"/>
      <c r="AF37" s="6"/>
      <c r="AG37" s="6"/>
      <c r="AH37" s="6"/>
      <c r="AI37" s="2" t="str">
        <f aca="false">IF(A37="","",IF(V37="Yes",IF(U37="Yes",1,2),""))</f>
        <v/>
      </c>
      <c r="AJ37" s="8"/>
      <c r="AK37" s="2" t="str">
        <f aca="false">IF(A37="","",IF(AJ37="","",COUNTIFS($E$2:$E$201,E37,$AI$2:$AI$201,AI37,$AJ$2:$AJ$201,"&lt;="&amp;AJ37)))</f>
        <v/>
      </c>
      <c r="AL37" s="2" t="str">
        <f aca="false">IF(A37="","",IF(AH37&lt;&gt;"Confirmado","No",IF(AG37="CO/SO₂ simultáneos",IF(OR(COUNTIFS($E$2:$E$201,E37,$AH$2:$AH$201,"Confirmado",$AG$2:$AG$201,"CO/SO₂ simultáneos")=3,SUMIFS($J$2:$J$201,$E$2:$E$201,E37,$AH$2:$AH$201,"Confirmado",$AG$2:$AG$201,"CO/SO₂ simultáneos")=6),"Sí","No"),IF(OR(AND(F37&gt;0,SUMIFS($F$2:$F$201,$E$2:$E$201,E37,$AH$2:$AH$201,"Confirmado")=4),AND(G37&gt;0,SUMIFS($G$2:$G$201,$E$2:$E$201,E37,$AH$2:$AH$201,"Confirmado")=4),AND(H37&gt;0,SUMIFS($H$2:$H$201,$E$2:$E$201,E37,$AH$2:$AH$201,"Confirmado")=4),AND(I37&gt;0,SUMIFS($I$2:$I$201,$E$2:$E$201,E37,$AH$2:$AH$201,"Confirmado")=4)),"Sí","No"))))</f>
        <v/>
      </c>
      <c r="AM37" s="2" t="str">
        <f aca="false">IF(A37="","",IF(AH37&lt;&gt;"Confirmado","",IF(AG37="CO/SO₂ simultáneos",IF(OR(COUNTIFS($E$2:$E$201,E37,$AH$2:$AH$201,"Confirmado",$AG$2:$AG$201,"CO/SO₂ simultáneos")&gt;3,SUMIFS($J$2:$J$201,$E$2:$E$201,E37,$AH$2:$AH$201,"Confirmado",$AG$2:$AG$201,"CO/SO₂ simultáneos")&gt;6),"CAPACIDAD EXCEDIDA","OK"),IF(OR(SUMIFS($F$2:$F$201,$E$2:$E$201,E37,$AH$2:$AH$201,"Confirmado")&gt;4,SUMIFS($G$2:$G$201,$E$2:$E$201,E37,$AH$2:$AH$201,"Confirmado")&gt;4,SUMIFS($H$2:$H$201,$E$2:$E$201,E37,$AH$2:$AH$201,"Confirmado")&gt;4,SUMIFS($I$2:$I$201,$E$2:$E$201,E37,$AH$2:$AH$201,"Confirmado")&gt;4),"CAPACIDAD EXCEDIDA","OK"))))</f>
        <v/>
      </c>
      <c r="AN37" s="2" t="str">
        <f aca="true">IF(A37="","",IF(AND(AC37&lt;1,Q37&lt;TODAY(),AH37="Aceptado pendiente de pago/orden"),"PLAZO VENCIDO",IF(AND(AC37&lt;1,AD37&lt;&gt;"",AD37&lt;TODAY()),"VENCIDO","OK")))</f>
        <v/>
      </c>
      <c r="AO37" s="6"/>
      <c r="AP37" s="8"/>
      <c r="AQ37" s="6"/>
      <c r="AR37" s="6" t="s">
        <v>73</v>
      </c>
      <c r="AS37" s="6"/>
      <c r="AT37" s="6"/>
      <c r="AU37" s="6"/>
      <c r="AV37" s="6"/>
      <c r="AW37" s="8" t="str">
        <f aca="false">IF(AV37="","",AV37+60)</f>
        <v/>
      </c>
      <c r="AX37" s="11" t="str">
        <f aca="true">IF(A37="","",IF(AND(AV37&lt;&gt;"",AW37&lt;TODAY(),OR(AH37="Interés",AH37="Cotizado")),"Sí","No"))</f>
        <v/>
      </c>
      <c r="AY37" s="6"/>
      <c r="AZ37" s="6"/>
      <c r="BA37" s="6"/>
      <c r="BB37" s="6"/>
      <c r="BC37" s="4"/>
      <c r="BD37" s="12"/>
    </row>
    <row r="38" customFormat="false" ht="23.8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2" t="n">
        <f aca="false">SUM(F38:I38)</f>
        <v>0</v>
      </c>
      <c r="K38" s="6"/>
      <c r="L38" s="6"/>
      <c r="M38" s="7"/>
      <c r="N38" s="7"/>
      <c r="O38" s="8"/>
      <c r="P38" s="8"/>
      <c r="Q38" s="8"/>
      <c r="R38" s="8"/>
      <c r="S38" s="8"/>
      <c r="T38" s="6"/>
      <c r="U38" s="6"/>
      <c r="V38" s="6"/>
      <c r="W38" s="6"/>
      <c r="X38" s="8"/>
      <c r="Y38" s="6"/>
      <c r="Z38" s="6"/>
      <c r="AA38" s="7"/>
      <c r="AB38" s="9" t="str">
        <f aca="false">IF(N38="","",MAX(0,N38-AA38))</f>
        <v/>
      </c>
      <c r="AC38" s="10" t="str">
        <f aca="false">IF(N38="","",IF(N38=0,0,AA38/N38))</f>
        <v/>
      </c>
      <c r="AD38" s="8"/>
      <c r="AE38" s="6"/>
      <c r="AF38" s="6"/>
      <c r="AG38" s="6"/>
      <c r="AH38" s="6"/>
      <c r="AI38" s="2" t="str">
        <f aca="false">IF(A38="","",IF(V38="Yes",IF(U38="Yes",1,2),""))</f>
        <v/>
      </c>
      <c r="AJ38" s="8"/>
      <c r="AK38" s="2" t="str">
        <f aca="false">IF(A38="","",IF(AJ38="","",COUNTIFS($E$2:$E$201,E38,$AI$2:$AI$201,AI38,$AJ$2:$AJ$201,"&lt;="&amp;AJ38)))</f>
        <v/>
      </c>
      <c r="AL38" s="2" t="str">
        <f aca="false">IF(A38="","",IF(AH38&lt;&gt;"Confirmado","No",IF(AG38="CO/SO₂ simultáneos",IF(OR(COUNTIFS($E$2:$E$201,E38,$AH$2:$AH$201,"Confirmado",$AG$2:$AG$201,"CO/SO₂ simultáneos")=3,SUMIFS($J$2:$J$201,$E$2:$E$201,E38,$AH$2:$AH$201,"Confirmado",$AG$2:$AG$201,"CO/SO₂ simultáneos")=6),"Sí","No"),IF(OR(AND(F38&gt;0,SUMIFS($F$2:$F$201,$E$2:$E$201,E38,$AH$2:$AH$201,"Confirmado")=4),AND(G38&gt;0,SUMIFS($G$2:$G$201,$E$2:$E$201,E38,$AH$2:$AH$201,"Confirmado")=4),AND(H38&gt;0,SUMIFS($H$2:$H$201,$E$2:$E$201,E38,$AH$2:$AH$201,"Confirmado")=4),AND(I38&gt;0,SUMIFS($I$2:$I$201,$E$2:$E$201,E38,$AH$2:$AH$201,"Confirmado")=4)),"Sí","No"))))</f>
        <v/>
      </c>
      <c r="AM38" s="2" t="str">
        <f aca="false">IF(A38="","",IF(AH38&lt;&gt;"Confirmado","",IF(AG38="CO/SO₂ simultáneos",IF(OR(COUNTIFS($E$2:$E$201,E38,$AH$2:$AH$201,"Confirmado",$AG$2:$AG$201,"CO/SO₂ simultáneos")&gt;3,SUMIFS($J$2:$J$201,$E$2:$E$201,E38,$AH$2:$AH$201,"Confirmado",$AG$2:$AG$201,"CO/SO₂ simultáneos")&gt;6),"CAPACIDAD EXCEDIDA","OK"),IF(OR(SUMIFS($F$2:$F$201,$E$2:$E$201,E38,$AH$2:$AH$201,"Confirmado")&gt;4,SUMIFS($G$2:$G$201,$E$2:$E$201,E38,$AH$2:$AH$201,"Confirmado")&gt;4,SUMIFS($H$2:$H$201,$E$2:$E$201,E38,$AH$2:$AH$201,"Confirmado")&gt;4,SUMIFS($I$2:$I$201,$E$2:$E$201,E38,$AH$2:$AH$201,"Confirmado")&gt;4),"CAPACIDAD EXCEDIDA","OK"))))</f>
        <v/>
      </c>
      <c r="AN38" s="2" t="str">
        <f aca="true">IF(A38="","",IF(AND(AC38&lt;1,Q38&lt;TODAY(),AH38="Aceptado pendiente de pago/orden"),"PLAZO VENCIDO",IF(AND(AC38&lt;1,AD38&lt;&gt;"",AD38&lt;TODAY()),"VENCIDO","OK")))</f>
        <v/>
      </c>
      <c r="AO38" s="6"/>
      <c r="AP38" s="8"/>
      <c r="AQ38" s="6"/>
      <c r="AR38" s="6" t="s">
        <v>73</v>
      </c>
      <c r="AS38" s="6"/>
      <c r="AT38" s="6"/>
      <c r="AU38" s="6"/>
      <c r="AV38" s="6"/>
      <c r="AW38" s="8" t="str">
        <f aca="false">IF(AV38="","",AV38+60)</f>
        <v/>
      </c>
      <c r="AX38" s="11" t="str">
        <f aca="true">IF(A38="","",IF(AND(AV38&lt;&gt;"",AW38&lt;TODAY(),OR(AH38="Interés",AH38="Cotizado")),"Sí","No"))</f>
        <v/>
      </c>
      <c r="AY38" s="6"/>
      <c r="AZ38" s="6"/>
      <c r="BA38" s="6"/>
      <c r="BB38" s="6"/>
      <c r="BC38" s="4"/>
      <c r="BD38" s="12"/>
    </row>
    <row r="39" customFormat="false" ht="23.8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2" t="n">
        <f aca="false">SUM(F39:I39)</f>
        <v>0</v>
      </c>
      <c r="K39" s="6"/>
      <c r="L39" s="6"/>
      <c r="M39" s="7"/>
      <c r="N39" s="7"/>
      <c r="O39" s="8"/>
      <c r="P39" s="8"/>
      <c r="Q39" s="8"/>
      <c r="R39" s="8"/>
      <c r="S39" s="8"/>
      <c r="T39" s="6"/>
      <c r="U39" s="6"/>
      <c r="V39" s="6"/>
      <c r="W39" s="6"/>
      <c r="X39" s="8"/>
      <c r="Y39" s="6"/>
      <c r="Z39" s="6"/>
      <c r="AA39" s="7"/>
      <c r="AB39" s="9" t="str">
        <f aca="false">IF(N39="","",MAX(0,N39-AA39))</f>
        <v/>
      </c>
      <c r="AC39" s="10" t="str">
        <f aca="false">IF(N39="","",IF(N39=0,0,AA39/N39))</f>
        <v/>
      </c>
      <c r="AD39" s="8"/>
      <c r="AE39" s="6"/>
      <c r="AF39" s="6"/>
      <c r="AG39" s="6"/>
      <c r="AH39" s="6"/>
      <c r="AI39" s="2" t="str">
        <f aca="false">IF(A39="","",IF(V39="Yes",IF(U39="Yes",1,2),""))</f>
        <v/>
      </c>
      <c r="AJ39" s="8"/>
      <c r="AK39" s="2" t="str">
        <f aca="false">IF(A39="","",IF(AJ39="","",COUNTIFS($E$2:$E$201,E39,$AI$2:$AI$201,AI39,$AJ$2:$AJ$201,"&lt;="&amp;AJ39)))</f>
        <v/>
      </c>
      <c r="AL39" s="2" t="str">
        <f aca="false">IF(A39="","",IF(AH39&lt;&gt;"Confirmado","No",IF(AG39="CO/SO₂ simultáneos",IF(OR(COUNTIFS($E$2:$E$201,E39,$AH$2:$AH$201,"Confirmado",$AG$2:$AG$201,"CO/SO₂ simultáneos")=3,SUMIFS($J$2:$J$201,$E$2:$E$201,E39,$AH$2:$AH$201,"Confirmado",$AG$2:$AG$201,"CO/SO₂ simultáneos")=6),"Sí","No"),IF(OR(AND(F39&gt;0,SUMIFS($F$2:$F$201,$E$2:$E$201,E39,$AH$2:$AH$201,"Confirmado")=4),AND(G39&gt;0,SUMIFS($G$2:$G$201,$E$2:$E$201,E39,$AH$2:$AH$201,"Confirmado")=4),AND(H39&gt;0,SUMIFS($H$2:$H$201,$E$2:$E$201,E39,$AH$2:$AH$201,"Confirmado")=4),AND(I39&gt;0,SUMIFS($I$2:$I$201,$E$2:$E$201,E39,$AH$2:$AH$201,"Confirmado")=4)),"Sí","No"))))</f>
        <v/>
      </c>
      <c r="AM39" s="2" t="str">
        <f aca="false">IF(A39="","",IF(AH39&lt;&gt;"Confirmado","",IF(AG39="CO/SO₂ simultáneos",IF(OR(COUNTIFS($E$2:$E$201,E39,$AH$2:$AH$201,"Confirmado",$AG$2:$AG$201,"CO/SO₂ simultáneos")&gt;3,SUMIFS($J$2:$J$201,$E$2:$E$201,E39,$AH$2:$AH$201,"Confirmado",$AG$2:$AG$201,"CO/SO₂ simultáneos")&gt;6),"CAPACIDAD EXCEDIDA","OK"),IF(OR(SUMIFS($F$2:$F$201,$E$2:$E$201,E39,$AH$2:$AH$201,"Confirmado")&gt;4,SUMIFS($G$2:$G$201,$E$2:$E$201,E39,$AH$2:$AH$201,"Confirmado")&gt;4,SUMIFS($H$2:$H$201,$E$2:$E$201,E39,$AH$2:$AH$201,"Confirmado")&gt;4,SUMIFS($I$2:$I$201,$E$2:$E$201,E39,$AH$2:$AH$201,"Confirmado")&gt;4),"CAPACIDAD EXCEDIDA","OK"))))</f>
        <v/>
      </c>
      <c r="AN39" s="2" t="str">
        <f aca="true">IF(A39="","",IF(AND(AC39&lt;1,Q39&lt;TODAY(),AH39="Aceptado pendiente de pago/orden"),"PLAZO VENCIDO",IF(AND(AC39&lt;1,AD39&lt;&gt;"",AD39&lt;TODAY()),"VENCIDO","OK")))</f>
        <v/>
      </c>
      <c r="AO39" s="6"/>
      <c r="AP39" s="8"/>
      <c r="AQ39" s="6"/>
      <c r="AR39" s="6" t="s">
        <v>73</v>
      </c>
      <c r="AS39" s="6"/>
      <c r="AT39" s="6"/>
      <c r="AU39" s="6"/>
      <c r="AV39" s="6"/>
      <c r="AW39" s="8" t="str">
        <f aca="false">IF(AV39="","",AV39+60)</f>
        <v/>
      </c>
      <c r="AX39" s="11" t="str">
        <f aca="true">IF(A39="","",IF(AND(AV39&lt;&gt;"",AW39&lt;TODAY(),OR(AH39="Interés",AH39="Cotizado")),"Sí","No"))</f>
        <v/>
      </c>
      <c r="AY39" s="6"/>
      <c r="AZ39" s="6"/>
      <c r="BA39" s="6"/>
      <c r="BB39" s="6"/>
      <c r="BC39" s="4"/>
      <c r="BD39" s="12"/>
    </row>
    <row r="40" customFormat="false" ht="23.8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2" t="n">
        <f aca="false">SUM(F40:I40)</f>
        <v>0</v>
      </c>
      <c r="K40" s="6"/>
      <c r="L40" s="6"/>
      <c r="M40" s="7"/>
      <c r="N40" s="7"/>
      <c r="O40" s="8"/>
      <c r="P40" s="8"/>
      <c r="Q40" s="8"/>
      <c r="R40" s="8"/>
      <c r="S40" s="8"/>
      <c r="T40" s="6"/>
      <c r="U40" s="6"/>
      <c r="V40" s="6"/>
      <c r="W40" s="6"/>
      <c r="X40" s="8"/>
      <c r="Y40" s="6"/>
      <c r="Z40" s="6"/>
      <c r="AA40" s="7"/>
      <c r="AB40" s="9" t="str">
        <f aca="false">IF(N40="","",MAX(0,N40-AA40))</f>
        <v/>
      </c>
      <c r="AC40" s="10" t="str">
        <f aca="false">IF(N40="","",IF(N40=0,0,AA40/N40))</f>
        <v/>
      </c>
      <c r="AD40" s="8"/>
      <c r="AE40" s="6"/>
      <c r="AF40" s="6"/>
      <c r="AG40" s="6"/>
      <c r="AH40" s="6"/>
      <c r="AI40" s="2" t="str">
        <f aca="false">IF(A40="","",IF(V40="Yes",IF(U40="Yes",1,2),""))</f>
        <v/>
      </c>
      <c r="AJ40" s="8"/>
      <c r="AK40" s="2" t="str">
        <f aca="false">IF(A40="","",IF(AJ40="","",COUNTIFS($E$2:$E$201,E40,$AI$2:$AI$201,AI40,$AJ$2:$AJ$201,"&lt;="&amp;AJ40)))</f>
        <v/>
      </c>
      <c r="AL40" s="2" t="str">
        <f aca="false">IF(A40="","",IF(AH40&lt;&gt;"Confirmado","No",IF(AG40="CO/SO₂ simultáneos",IF(OR(COUNTIFS($E$2:$E$201,E40,$AH$2:$AH$201,"Confirmado",$AG$2:$AG$201,"CO/SO₂ simultáneos")=3,SUMIFS($J$2:$J$201,$E$2:$E$201,E40,$AH$2:$AH$201,"Confirmado",$AG$2:$AG$201,"CO/SO₂ simultáneos")=6),"Sí","No"),IF(OR(AND(F40&gt;0,SUMIFS($F$2:$F$201,$E$2:$E$201,E40,$AH$2:$AH$201,"Confirmado")=4),AND(G40&gt;0,SUMIFS($G$2:$G$201,$E$2:$E$201,E40,$AH$2:$AH$201,"Confirmado")=4),AND(H40&gt;0,SUMIFS($H$2:$H$201,$E$2:$E$201,E40,$AH$2:$AH$201,"Confirmado")=4),AND(I40&gt;0,SUMIFS($I$2:$I$201,$E$2:$E$201,E40,$AH$2:$AH$201,"Confirmado")=4)),"Sí","No"))))</f>
        <v/>
      </c>
      <c r="AM40" s="2" t="str">
        <f aca="false">IF(A40="","",IF(AH40&lt;&gt;"Confirmado","",IF(AG40="CO/SO₂ simultáneos",IF(OR(COUNTIFS($E$2:$E$201,E40,$AH$2:$AH$201,"Confirmado",$AG$2:$AG$201,"CO/SO₂ simultáneos")&gt;3,SUMIFS($J$2:$J$201,$E$2:$E$201,E40,$AH$2:$AH$201,"Confirmado",$AG$2:$AG$201,"CO/SO₂ simultáneos")&gt;6),"CAPACIDAD EXCEDIDA","OK"),IF(OR(SUMIFS($F$2:$F$201,$E$2:$E$201,E40,$AH$2:$AH$201,"Confirmado")&gt;4,SUMIFS($G$2:$G$201,$E$2:$E$201,E40,$AH$2:$AH$201,"Confirmado")&gt;4,SUMIFS($H$2:$H$201,$E$2:$E$201,E40,$AH$2:$AH$201,"Confirmado")&gt;4,SUMIFS($I$2:$I$201,$E$2:$E$201,E40,$AH$2:$AH$201,"Confirmado")&gt;4),"CAPACIDAD EXCEDIDA","OK"))))</f>
        <v/>
      </c>
      <c r="AN40" s="2" t="str">
        <f aca="true">IF(A40="","",IF(AND(AC40&lt;1,Q40&lt;TODAY(),AH40="Aceptado pendiente de pago/orden"),"PLAZO VENCIDO",IF(AND(AC40&lt;1,AD40&lt;&gt;"",AD40&lt;TODAY()),"VENCIDO","OK")))</f>
        <v/>
      </c>
      <c r="AO40" s="6"/>
      <c r="AP40" s="8"/>
      <c r="AQ40" s="6"/>
      <c r="AR40" s="6" t="s">
        <v>73</v>
      </c>
      <c r="AS40" s="6"/>
      <c r="AT40" s="6"/>
      <c r="AU40" s="6"/>
      <c r="AV40" s="6"/>
      <c r="AW40" s="8" t="str">
        <f aca="false">IF(AV40="","",AV40+60)</f>
        <v/>
      </c>
      <c r="AX40" s="11" t="str">
        <f aca="true">IF(A40="","",IF(AND(AV40&lt;&gt;"",AW40&lt;TODAY(),OR(AH40="Interés",AH40="Cotizado")),"Sí","No"))</f>
        <v/>
      </c>
      <c r="AY40" s="6"/>
      <c r="AZ40" s="6"/>
      <c r="BA40" s="6"/>
      <c r="BB40" s="6"/>
      <c r="BC40" s="4"/>
      <c r="BD40" s="12"/>
    </row>
    <row r="41" customFormat="false" ht="23.8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2" t="n">
        <f aca="false">SUM(F41:I41)</f>
        <v>0</v>
      </c>
      <c r="K41" s="6"/>
      <c r="L41" s="6"/>
      <c r="M41" s="7"/>
      <c r="N41" s="7"/>
      <c r="O41" s="8"/>
      <c r="P41" s="8"/>
      <c r="Q41" s="8"/>
      <c r="R41" s="8"/>
      <c r="S41" s="8"/>
      <c r="T41" s="6"/>
      <c r="U41" s="6"/>
      <c r="V41" s="6"/>
      <c r="W41" s="6"/>
      <c r="X41" s="8"/>
      <c r="Y41" s="6"/>
      <c r="Z41" s="6"/>
      <c r="AA41" s="7"/>
      <c r="AB41" s="9" t="str">
        <f aca="false">IF(N41="","",MAX(0,N41-AA41))</f>
        <v/>
      </c>
      <c r="AC41" s="10" t="str">
        <f aca="false">IF(N41="","",IF(N41=0,0,AA41/N41))</f>
        <v/>
      </c>
      <c r="AD41" s="8"/>
      <c r="AE41" s="6"/>
      <c r="AF41" s="6"/>
      <c r="AG41" s="6"/>
      <c r="AH41" s="6"/>
      <c r="AI41" s="2" t="str">
        <f aca="false">IF(A41="","",IF(V41="Yes",IF(U41="Yes",1,2),""))</f>
        <v/>
      </c>
      <c r="AJ41" s="8"/>
      <c r="AK41" s="2" t="str">
        <f aca="false">IF(A41="","",IF(AJ41="","",COUNTIFS($E$2:$E$201,E41,$AI$2:$AI$201,AI41,$AJ$2:$AJ$201,"&lt;="&amp;AJ41)))</f>
        <v/>
      </c>
      <c r="AL41" s="2" t="str">
        <f aca="false">IF(A41="","",IF(AH41&lt;&gt;"Confirmado","No",IF(AG41="CO/SO₂ simultáneos",IF(OR(COUNTIFS($E$2:$E$201,E41,$AH$2:$AH$201,"Confirmado",$AG$2:$AG$201,"CO/SO₂ simultáneos")=3,SUMIFS($J$2:$J$201,$E$2:$E$201,E41,$AH$2:$AH$201,"Confirmado",$AG$2:$AG$201,"CO/SO₂ simultáneos")=6),"Sí","No"),IF(OR(AND(F41&gt;0,SUMIFS($F$2:$F$201,$E$2:$E$201,E41,$AH$2:$AH$201,"Confirmado")=4),AND(G41&gt;0,SUMIFS($G$2:$G$201,$E$2:$E$201,E41,$AH$2:$AH$201,"Confirmado")=4),AND(H41&gt;0,SUMIFS($H$2:$H$201,$E$2:$E$201,E41,$AH$2:$AH$201,"Confirmado")=4),AND(I41&gt;0,SUMIFS($I$2:$I$201,$E$2:$E$201,E41,$AH$2:$AH$201,"Confirmado")=4)),"Sí","No"))))</f>
        <v/>
      </c>
      <c r="AM41" s="2" t="str">
        <f aca="false">IF(A41="","",IF(AH41&lt;&gt;"Confirmado","",IF(AG41="CO/SO₂ simultáneos",IF(OR(COUNTIFS($E$2:$E$201,E41,$AH$2:$AH$201,"Confirmado",$AG$2:$AG$201,"CO/SO₂ simultáneos")&gt;3,SUMIFS($J$2:$J$201,$E$2:$E$201,E41,$AH$2:$AH$201,"Confirmado",$AG$2:$AG$201,"CO/SO₂ simultáneos")&gt;6),"CAPACIDAD EXCEDIDA","OK"),IF(OR(SUMIFS($F$2:$F$201,$E$2:$E$201,E41,$AH$2:$AH$201,"Confirmado")&gt;4,SUMIFS($G$2:$G$201,$E$2:$E$201,E41,$AH$2:$AH$201,"Confirmado")&gt;4,SUMIFS($H$2:$H$201,$E$2:$E$201,E41,$AH$2:$AH$201,"Confirmado")&gt;4,SUMIFS($I$2:$I$201,$E$2:$E$201,E41,$AH$2:$AH$201,"Confirmado")&gt;4),"CAPACIDAD EXCEDIDA","OK"))))</f>
        <v/>
      </c>
      <c r="AN41" s="2" t="str">
        <f aca="true">IF(A41="","",IF(AND(AC41&lt;1,Q41&lt;TODAY(),AH41="Aceptado pendiente de pago/orden"),"PLAZO VENCIDO",IF(AND(AC41&lt;1,AD41&lt;&gt;"",AD41&lt;TODAY()),"VENCIDO","OK")))</f>
        <v/>
      </c>
      <c r="AO41" s="6"/>
      <c r="AP41" s="8"/>
      <c r="AQ41" s="6"/>
      <c r="AR41" s="6" t="s">
        <v>73</v>
      </c>
      <c r="AS41" s="6"/>
      <c r="AT41" s="6"/>
      <c r="AU41" s="6"/>
      <c r="AV41" s="6"/>
      <c r="AW41" s="8" t="str">
        <f aca="false">IF(AV41="","",AV41+60)</f>
        <v/>
      </c>
      <c r="AX41" s="11" t="str">
        <f aca="true">IF(A41="","",IF(AND(AV41&lt;&gt;"",AW41&lt;TODAY(),OR(AH41="Interés",AH41="Cotizado")),"Sí","No"))</f>
        <v/>
      </c>
      <c r="AY41" s="6"/>
      <c r="AZ41" s="6"/>
      <c r="BA41" s="6"/>
      <c r="BB41" s="6"/>
      <c r="BC41" s="4"/>
      <c r="BD41" s="12"/>
    </row>
    <row r="42" customFormat="false" ht="23.8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2" t="n">
        <f aca="false">SUM(F42:I42)</f>
        <v>0</v>
      </c>
      <c r="K42" s="6"/>
      <c r="L42" s="6"/>
      <c r="M42" s="7"/>
      <c r="N42" s="7"/>
      <c r="O42" s="8"/>
      <c r="P42" s="8"/>
      <c r="Q42" s="8"/>
      <c r="R42" s="8"/>
      <c r="S42" s="8"/>
      <c r="T42" s="6"/>
      <c r="U42" s="6"/>
      <c r="V42" s="6"/>
      <c r="W42" s="6"/>
      <c r="X42" s="8"/>
      <c r="Y42" s="6"/>
      <c r="Z42" s="6"/>
      <c r="AA42" s="7"/>
      <c r="AB42" s="9" t="str">
        <f aca="false">IF(N42="","",MAX(0,N42-AA42))</f>
        <v/>
      </c>
      <c r="AC42" s="10" t="str">
        <f aca="false">IF(N42="","",IF(N42=0,0,AA42/N42))</f>
        <v/>
      </c>
      <c r="AD42" s="8"/>
      <c r="AE42" s="6"/>
      <c r="AF42" s="6"/>
      <c r="AG42" s="6"/>
      <c r="AH42" s="6"/>
      <c r="AI42" s="2" t="str">
        <f aca="false">IF(A42="","",IF(V42="Yes",IF(U42="Yes",1,2),""))</f>
        <v/>
      </c>
      <c r="AJ42" s="8"/>
      <c r="AK42" s="2" t="str">
        <f aca="false">IF(A42="","",IF(AJ42="","",COUNTIFS($E$2:$E$201,E42,$AI$2:$AI$201,AI42,$AJ$2:$AJ$201,"&lt;="&amp;AJ42)))</f>
        <v/>
      </c>
      <c r="AL42" s="2" t="str">
        <f aca="false">IF(A42="","",IF(AH42&lt;&gt;"Confirmado","No",IF(AG42="CO/SO₂ simultáneos",IF(OR(COUNTIFS($E$2:$E$201,E42,$AH$2:$AH$201,"Confirmado",$AG$2:$AG$201,"CO/SO₂ simultáneos")=3,SUMIFS($J$2:$J$201,$E$2:$E$201,E42,$AH$2:$AH$201,"Confirmado",$AG$2:$AG$201,"CO/SO₂ simultáneos")=6),"Sí","No"),IF(OR(AND(F42&gt;0,SUMIFS($F$2:$F$201,$E$2:$E$201,E42,$AH$2:$AH$201,"Confirmado")=4),AND(G42&gt;0,SUMIFS($G$2:$G$201,$E$2:$E$201,E42,$AH$2:$AH$201,"Confirmado")=4),AND(H42&gt;0,SUMIFS($H$2:$H$201,$E$2:$E$201,E42,$AH$2:$AH$201,"Confirmado")=4),AND(I42&gt;0,SUMIFS($I$2:$I$201,$E$2:$E$201,E42,$AH$2:$AH$201,"Confirmado")=4)),"Sí","No"))))</f>
        <v/>
      </c>
      <c r="AM42" s="2" t="str">
        <f aca="false">IF(A42="","",IF(AH42&lt;&gt;"Confirmado","",IF(AG42="CO/SO₂ simultáneos",IF(OR(COUNTIFS($E$2:$E$201,E42,$AH$2:$AH$201,"Confirmado",$AG$2:$AG$201,"CO/SO₂ simultáneos")&gt;3,SUMIFS($J$2:$J$201,$E$2:$E$201,E42,$AH$2:$AH$201,"Confirmado",$AG$2:$AG$201,"CO/SO₂ simultáneos")&gt;6),"CAPACIDAD EXCEDIDA","OK"),IF(OR(SUMIFS($F$2:$F$201,$E$2:$E$201,E42,$AH$2:$AH$201,"Confirmado")&gt;4,SUMIFS($G$2:$G$201,$E$2:$E$201,E42,$AH$2:$AH$201,"Confirmado")&gt;4,SUMIFS($H$2:$H$201,$E$2:$E$201,E42,$AH$2:$AH$201,"Confirmado")&gt;4,SUMIFS($I$2:$I$201,$E$2:$E$201,E42,$AH$2:$AH$201,"Confirmado")&gt;4),"CAPACIDAD EXCEDIDA","OK"))))</f>
        <v/>
      </c>
      <c r="AN42" s="2" t="str">
        <f aca="true">IF(A42="","",IF(AND(AC42&lt;1,Q42&lt;TODAY(),AH42="Aceptado pendiente de pago/orden"),"PLAZO VENCIDO",IF(AND(AC42&lt;1,AD42&lt;&gt;"",AD42&lt;TODAY()),"VENCIDO","OK")))</f>
        <v/>
      </c>
      <c r="AO42" s="6"/>
      <c r="AP42" s="8"/>
      <c r="AQ42" s="6"/>
      <c r="AR42" s="6" t="s">
        <v>73</v>
      </c>
      <c r="AS42" s="6"/>
      <c r="AT42" s="6"/>
      <c r="AU42" s="6"/>
      <c r="AV42" s="6"/>
      <c r="AW42" s="8" t="str">
        <f aca="false">IF(AV42="","",AV42+60)</f>
        <v/>
      </c>
      <c r="AX42" s="11" t="str">
        <f aca="true">IF(A42="","",IF(AND(AV42&lt;&gt;"",AW42&lt;TODAY(),OR(AH42="Interés",AH42="Cotizado")),"Sí","No"))</f>
        <v/>
      </c>
      <c r="AY42" s="6"/>
      <c r="AZ42" s="6"/>
      <c r="BA42" s="6"/>
      <c r="BB42" s="6"/>
      <c r="BC42" s="4"/>
      <c r="BD42" s="12"/>
    </row>
    <row r="43" customFormat="false" ht="23.8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2" t="n">
        <f aca="false">SUM(F43:I43)</f>
        <v>0</v>
      </c>
      <c r="K43" s="6"/>
      <c r="L43" s="6"/>
      <c r="M43" s="7"/>
      <c r="N43" s="7"/>
      <c r="O43" s="8"/>
      <c r="P43" s="8"/>
      <c r="Q43" s="8"/>
      <c r="R43" s="8"/>
      <c r="S43" s="8"/>
      <c r="T43" s="6"/>
      <c r="U43" s="6"/>
      <c r="V43" s="6"/>
      <c r="W43" s="6"/>
      <c r="X43" s="8"/>
      <c r="Y43" s="6"/>
      <c r="Z43" s="6"/>
      <c r="AA43" s="7"/>
      <c r="AB43" s="9" t="str">
        <f aca="false">IF(N43="","",MAX(0,N43-AA43))</f>
        <v/>
      </c>
      <c r="AC43" s="10" t="str">
        <f aca="false">IF(N43="","",IF(N43=0,0,AA43/N43))</f>
        <v/>
      </c>
      <c r="AD43" s="8"/>
      <c r="AE43" s="6"/>
      <c r="AF43" s="6"/>
      <c r="AG43" s="6"/>
      <c r="AH43" s="6"/>
      <c r="AI43" s="2" t="str">
        <f aca="false">IF(A43="","",IF(V43="Yes",IF(U43="Yes",1,2),""))</f>
        <v/>
      </c>
      <c r="AJ43" s="8"/>
      <c r="AK43" s="2" t="str">
        <f aca="false">IF(A43="","",IF(AJ43="","",COUNTIFS($E$2:$E$201,E43,$AI$2:$AI$201,AI43,$AJ$2:$AJ$201,"&lt;="&amp;AJ43)))</f>
        <v/>
      </c>
      <c r="AL43" s="2" t="str">
        <f aca="false">IF(A43="","",IF(AH43&lt;&gt;"Confirmado","No",IF(AG43="CO/SO₂ simultáneos",IF(OR(COUNTIFS($E$2:$E$201,E43,$AH$2:$AH$201,"Confirmado",$AG$2:$AG$201,"CO/SO₂ simultáneos")=3,SUMIFS($J$2:$J$201,$E$2:$E$201,E43,$AH$2:$AH$201,"Confirmado",$AG$2:$AG$201,"CO/SO₂ simultáneos")=6),"Sí","No"),IF(OR(AND(F43&gt;0,SUMIFS($F$2:$F$201,$E$2:$E$201,E43,$AH$2:$AH$201,"Confirmado")=4),AND(G43&gt;0,SUMIFS($G$2:$G$201,$E$2:$E$201,E43,$AH$2:$AH$201,"Confirmado")=4),AND(H43&gt;0,SUMIFS($H$2:$H$201,$E$2:$E$201,E43,$AH$2:$AH$201,"Confirmado")=4),AND(I43&gt;0,SUMIFS($I$2:$I$201,$E$2:$E$201,E43,$AH$2:$AH$201,"Confirmado")=4)),"Sí","No"))))</f>
        <v/>
      </c>
      <c r="AM43" s="2" t="str">
        <f aca="false">IF(A43="","",IF(AH43&lt;&gt;"Confirmado","",IF(AG43="CO/SO₂ simultáneos",IF(OR(COUNTIFS($E$2:$E$201,E43,$AH$2:$AH$201,"Confirmado",$AG$2:$AG$201,"CO/SO₂ simultáneos")&gt;3,SUMIFS($J$2:$J$201,$E$2:$E$201,E43,$AH$2:$AH$201,"Confirmado",$AG$2:$AG$201,"CO/SO₂ simultáneos")&gt;6),"CAPACIDAD EXCEDIDA","OK"),IF(OR(SUMIFS($F$2:$F$201,$E$2:$E$201,E43,$AH$2:$AH$201,"Confirmado")&gt;4,SUMIFS($G$2:$G$201,$E$2:$E$201,E43,$AH$2:$AH$201,"Confirmado")&gt;4,SUMIFS($H$2:$H$201,$E$2:$E$201,E43,$AH$2:$AH$201,"Confirmado")&gt;4,SUMIFS($I$2:$I$201,$E$2:$E$201,E43,$AH$2:$AH$201,"Confirmado")&gt;4),"CAPACIDAD EXCEDIDA","OK"))))</f>
        <v/>
      </c>
      <c r="AN43" s="2" t="str">
        <f aca="true">IF(A43="","",IF(AND(AC43&lt;1,Q43&lt;TODAY(),AH43="Aceptado pendiente de pago/orden"),"PLAZO VENCIDO",IF(AND(AC43&lt;1,AD43&lt;&gt;"",AD43&lt;TODAY()),"VENCIDO","OK")))</f>
        <v/>
      </c>
      <c r="AO43" s="6"/>
      <c r="AP43" s="8"/>
      <c r="AQ43" s="6"/>
      <c r="AR43" s="6" t="s">
        <v>73</v>
      </c>
      <c r="AS43" s="6"/>
      <c r="AT43" s="6"/>
      <c r="AU43" s="6"/>
      <c r="AV43" s="6"/>
      <c r="AW43" s="8" t="str">
        <f aca="false">IF(AV43="","",AV43+60)</f>
        <v/>
      </c>
      <c r="AX43" s="11" t="str">
        <f aca="true">IF(A43="","",IF(AND(AV43&lt;&gt;"",AW43&lt;TODAY(),OR(AH43="Interés",AH43="Cotizado")),"Sí","No"))</f>
        <v/>
      </c>
      <c r="AY43" s="6"/>
      <c r="AZ43" s="6"/>
      <c r="BA43" s="6"/>
      <c r="BB43" s="6"/>
      <c r="BC43" s="4"/>
      <c r="BD43" s="12"/>
    </row>
    <row r="44" customFormat="false" ht="23.8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2" t="n">
        <f aca="false">SUM(F44:I44)</f>
        <v>0</v>
      </c>
      <c r="K44" s="6"/>
      <c r="L44" s="6"/>
      <c r="M44" s="7"/>
      <c r="N44" s="7"/>
      <c r="O44" s="8"/>
      <c r="P44" s="8"/>
      <c r="Q44" s="8"/>
      <c r="R44" s="8"/>
      <c r="S44" s="8"/>
      <c r="T44" s="6"/>
      <c r="U44" s="6"/>
      <c r="V44" s="6"/>
      <c r="W44" s="6"/>
      <c r="X44" s="8"/>
      <c r="Y44" s="6"/>
      <c r="Z44" s="6"/>
      <c r="AA44" s="7"/>
      <c r="AB44" s="9" t="str">
        <f aca="false">IF(N44="","",MAX(0,N44-AA44))</f>
        <v/>
      </c>
      <c r="AC44" s="10" t="str">
        <f aca="false">IF(N44="","",IF(N44=0,0,AA44/N44))</f>
        <v/>
      </c>
      <c r="AD44" s="8"/>
      <c r="AE44" s="6"/>
      <c r="AF44" s="6"/>
      <c r="AG44" s="6"/>
      <c r="AH44" s="6"/>
      <c r="AI44" s="2" t="str">
        <f aca="false">IF(A44="","",IF(V44="Yes",IF(U44="Yes",1,2),""))</f>
        <v/>
      </c>
      <c r="AJ44" s="8"/>
      <c r="AK44" s="2" t="str">
        <f aca="false">IF(A44="","",IF(AJ44="","",COUNTIFS($E$2:$E$201,E44,$AI$2:$AI$201,AI44,$AJ$2:$AJ$201,"&lt;="&amp;AJ44)))</f>
        <v/>
      </c>
      <c r="AL44" s="2" t="str">
        <f aca="false">IF(A44="","",IF(AH44&lt;&gt;"Confirmado","No",IF(AG44="CO/SO₂ simultáneos",IF(OR(COUNTIFS($E$2:$E$201,E44,$AH$2:$AH$201,"Confirmado",$AG$2:$AG$201,"CO/SO₂ simultáneos")=3,SUMIFS($J$2:$J$201,$E$2:$E$201,E44,$AH$2:$AH$201,"Confirmado",$AG$2:$AG$201,"CO/SO₂ simultáneos")=6),"Sí","No"),IF(OR(AND(F44&gt;0,SUMIFS($F$2:$F$201,$E$2:$E$201,E44,$AH$2:$AH$201,"Confirmado")=4),AND(G44&gt;0,SUMIFS($G$2:$G$201,$E$2:$E$201,E44,$AH$2:$AH$201,"Confirmado")=4),AND(H44&gt;0,SUMIFS($H$2:$H$201,$E$2:$E$201,E44,$AH$2:$AH$201,"Confirmado")=4),AND(I44&gt;0,SUMIFS($I$2:$I$201,$E$2:$E$201,E44,$AH$2:$AH$201,"Confirmado")=4)),"Sí","No"))))</f>
        <v/>
      </c>
      <c r="AM44" s="2" t="str">
        <f aca="false">IF(A44="","",IF(AH44&lt;&gt;"Confirmado","",IF(AG44="CO/SO₂ simultáneos",IF(OR(COUNTIFS($E$2:$E$201,E44,$AH$2:$AH$201,"Confirmado",$AG$2:$AG$201,"CO/SO₂ simultáneos")&gt;3,SUMIFS($J$2:$J$201,$E$2:$E$201,E44,$AH$2:$AH$201,"Confirmado",$AG$2:$AG$201,"CO/SO₂ simultáneos")&gt;6),"CAPACIDAD EXCEDIDA","OK"),IF(OR(SUMIFS($F$2:$F$201,$E$2:$E$201,E44,$AH$2:$AH$201,"Confirmado")&gt;4,SUMIFS($G$2:$G$201,$E$2:$E$201,E44,$AH$2:$AH$201,"Confirmado")&gt;4,SUMIFS($H$2:$H$201,$E$2:$E$201,E44,$AH$2:$AH$201,"Confirmado")&gt;4,SUMIFS($I$2:$I$201,$E$2:$E$201,E44,$AH$2:$AH$201,"Confirmado")&gt;4),"CAPACIDAD EXCEDIDA","OK"))))</f>
        <v/>
      </c>
      <c r="AN44" s="2" t="str">
        <f aca="true">IF(A44="","",IF(AND(AC44&lt;1,Q44&lt;TODAY(),AH44="Aceptado pendiente de pago/orden"),"PLAZO VENCIDO",IF(AND(AC44&lt;1,AD44&lt;&gt;"",AD44&lt;TODAY()),"VENCIDO","OK")))</f>
        <v/>
      </c>
      <c r="AO44" s="6"/>
      <c r="AP44" s="8"/>
      <c r="AQ44" s="6"/>
      <c r="AR44" s="6" t="s">
        <v>73</v>
      </c>
      <c r="AS44" s="6"/>
      <c r="AT44" s="6"/>
      <c r="AU44" s="6"/>
      <c r="AV44" s="6"/>
      <c r="AW44" s="8" t="str">
        <f aca="false">IF(AV44="","",AV44+60)</f>
        <v/>
      </c>
      <c r="AX44" s="11" t="str">
        <f aca="true">IF(A44="","",IF(AND(AV44&lt;&gt;"",AW44&lt;TODAY(),OR(AH44="Interés",AH44="Cotizado")),"Sí","No"))</f>
        <v/>
      </c>
      <c r="AY44" s="6"/>
      <c r="AZ44" s="6"/>
      <c r="BA44" s="6"/>
      <c r="BB44" s="6"/>
      <c r="BC44" s="4"/>
      <c r="BD44" s="12"/>
    </row>
    <row r="45" customFormat="false" ht="23.8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2" t="n">
        <f aca="false">SUM(F45:I45)</f>
        <v>0</v>
      </c>
      <c r="K45" s="6"/>
      <c r="L45" s="6"/>
      <c r="M45" s="7"/>
      <c r="N45" s="7"/>
      <c r="O45" s="8"/>
      <c r="P45" s="8"/>
      <c r="Q45" s="8"/>
      <c r="R45" s="8"/>
      <c r="S45" s="8"/>
      <c r="T45" s="6"/>
      <c r="U45" s="6"/>
      <c r="V45" s="6"/>
      <c r="W45" s="6"/>
      <c r="X45" s="8"/>
      <c r="Y45" s="6"/>
      <c r="Z45" s="6"/>
      <c r="AA45" s="7"/>
      <c r="AB45" s="9" t="str">
        <f aca="false">IF(N45="","",MAX(0,N45-AA45))</f>
        <v/>
      </c>
      <c r="AC45" s="10" t="str">
        <f aca="false">IF(N45="","",IF(N45=0,0,AA45/N45))</f>
        <v/>
      </c>
      <c r="AD45" s="8"/>
      <c r="AE45" s="6"/>
      <c r="AF45" s="6"/>
      <c r="AG45" s="6"/>
      <c r="AH45" s="6"/>
      <c r="AI45" s="2" t="str">
        <f aca="false">IF(A45="","",IF(V45="Yes",IF(U45="Yes",1,2),""))</f>
        <v/>
      </c>
      <c r="AJ45" s="8"/>
      <c r="AK45" s="2" t="str">
        <f aca="false">IF(A45="","",IF(AJ45="","",COUNTIFS($E$2:$E$201,E45,$AI$2:$AI$201,AI45,$AJ$2:$AJ$201,"&lt;="&amp;AJ45)))</f>
        <v/>
      </c>
      <c r="AL45" s="2" t="str">
        <f aca="false">IF(A45="","",IF(AH45&lt;&gt;"Confirmado","No",IF(AG45="CO/SO₂ simultáneos",IF(OR(COUNTIFS($E$2:$E$201,E45,$AH$2:$AH$201,"Confirmado",$AG$2:$AG$201,"CO/SO₂ simultáneos")=3,SUMIFS($J$2:$J$201,$E$2:$E$201,E45,$AH$2:$AH$201,"Confirmado",$AG$2:$AG$201,"CO/SO₂ simultáneos")=6),"Sí","No"),IF(OR(AND(F45&gt;0,SUMIFS($F$2:$F$201,$E$2:$E$201,E45,$AH$2:$AH$201,"Confirmado")=4),AND(G45&gt;0,SUMIFS($G$2:$G$201,$E$2:$E$201,E45,$AH$2:$AH$201,"Confirmado")=4),AND(H45&gt;0,SUMIFS($H$2:$H$201,$E$2:$E$201,E45,$AH$2:$AH$201,"Confirmado")=4),AND(I45&gt;0,SUMIFS($I$2:$I$201,$E$2:$E$201,E45,$AH$2:$AH$201,"Confirmado")=4)),"Sí","No"))))</f>
        <v/>
      </c>
      <c r="AM45" s="2" t="str">
        <f aca="false">IF(A45="","",IF(AH45&lt;&gt;"Confirmado","",IF(AG45="CO/SO₂ simultáneos",IF(OR(COUNTIFS($E$2:$E$201,E45,$AH$2:$AH$201,"Confirmado",$AG$2:$AG$201,"CO/SO₂ simultáneos")&gt;3,SUMIFS($J$2:$J$201,$E$2:$E$201,E45,$AH$2:$AH$201,"Confirmado",$AG$2:$AG$201,"CO/SO₂ simultáneos")&gt;6),"CAPACIDAD EXCEDIDA","OK"),IF(OR(SUMIFS($F$2:$F$201,$E$2:$E$201,E45,$AH$2:$AH$201,"Confirmado")&gt;4,SUMIFS($G$2:$G$201,$E$2:$E$201,E45,$AH$2:$AH$201,"Confirmado")&gt;4,SUMIFS($H$2:$H$201,$E$2:$E$201,E45,$AH$2:$AH$201,"Confirmado")&gt;4,SUMIFS($I$2:$I$201,$E$2:$E$201,E45,$AH$2:$AH$201,"Confirmado")&gt;4),"CAPACIDAD EXCEDIDA","OK"))))</f>
        <v/>
      </c>
      <c r="AN45" s="2" t="str">
        <f aca="true">IF(A45="","",IF(AND(AC45&lt;1,Q45&lt;TODAY(),AH45="Aceptado pendiente de pago/orden"),"PLAZO VENCIDO",IF(AND(AC45&lt;1,AD45&lt;&gt;"",AD45&lt;TODAY()),"VENCIDO","OK")))</f>
        <v/>
      </c>
      <c r="AO45" s="6"/>
      <c r="AP45" s="8"/>
      <c r="AQ45" s="6"/>
      <c r="AR45" s="6" t="s">
        <v>73</v>
      </c>
      <c r="AS45" s="6"/>
      <c r="AT45" s="6"/>
      <c r="AU45" s="6"/>
      <c r="AV45" s="6"/>
      <c r="AW45" s="8" t="str">
        <f aca="false">IF(AV45="","",AV45+60)</f>
        <v/>
      </c>
      <c r="AX45" s="11" t="str">
        <f aca="true">IF(A45="","",IF(AND(AV45&lt;&gt;"",AW45&lt;TODAY(),OR(AH45="Interés",AH45="Cotizado")),"Sí","No"))</f>
        <v/>
      </c>
      <c r="AY45" s="6"/>
      <c r="AZ45" s="6"/>
      <c r="BA45" s="6"/>
      <c r="BB45" s="6"/>
      <c r="BC45" s="4"/>
      <c r="BD45" s="12"/>
    </row>
    <row r="46" customFormat="false" ht="23.8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2" t="n">
        <f aca="false">SUM(F46:I46)</f>
        <v>0</v>
      </c>
      <c r="K46" s="6"/>
      <c r="L46" s="6"/>
      <c r="M46" s="7"/>
      <c r="N46" s="7"/>
      <c r="O46" s="8"/>
      <c r="P46" s="8"/>
      <c r="Q46" s="8"/>
      <c r="R46" s="8"/>
      <c r="S46" s="8"/>
      <c r="T46" s="6"/>
      <c r="U46" s="6"/>
      <c r="V46" s="6"/>
      <c r="W46" s="6"/>
      <c r="X46" s="8"/>
      <c r="Y46" s="6"/>
      <c r="Z46" s="6"/>
      <c r="AA46" s="7"/>
      <c r="AB46" s="9" t="str">
        <f aca="false">IF(N46="","",MAX(0,N46-AA46))</f>
        <v/>
      </c>
      <c r="AC46" s="10" t="str">
        <f aca="false">IF(N46="","",IF(N46=0,0,AA46/N46))</f>
        <v/>
      </c>
      <c r="AD46" s="8"/>
      <c r="AE46" s="6"/>
      <c r="AF46" s="6"/>
      <c r="AG46" s="6"/>
      <c r="AH46" s="6"/>
      <c r="AI46" s="2" t="str">
        <f aca="false">IF(A46="","",IF(V46="Yes",IF(U46="Yes",1,2),""))</f>
        <v/>
      </c>
      <c r="AJ46" s="8"/>
      <c r="AK46" s="2" t="str">
        <f aca="false">IF(A46="","",IF(AJ46="","",COUNTIFS($E$2:$E$201,E46,$AI$2:$AI$201,AI46,$AJ$2:$AJ$201,"&lt;="&amp;AJ46)))</f>
        <v/>
      </c>
      <c r="AL46" s="2" t="str">
        <f aca="false">IF(A46="","",IF(AH46&lt;&gt;"Confirmado","No",IF(AG46="CO/SO₂ simultáneos",IF(OR(COUNTIFS($E$2:$E$201,E46,$AH$2:$AH$201,"Confirmado",$AG$2:$AG$201,"CO/SO₂ simultáneos")=3,SUMIFS($J$2:$J$201,$E$2:$E$201,E46,$AH$2:$AH$201,"Confirmado",$AG$2:$AG$201,"CO/SO₂ simultáneos")=6),"Sí","No"),IF(OR(AND(F46&gt;0,SUMIFS($F$2:$F$201,$E$2:$E$201,E46,$AH$2:$AH$201,"Confirmado")=4),AND(G46&gt;0,SUMIFS($G$2:$G$201,$E$2:$E$201,E46,$AH$2:$AH$201,"Confirmado")=4),AND(H46&gt;0,SUMIFS($H$2:$H$201,$E$2:$E$201,E46,$AH$2:$AH$201,"Confirmado")=4),AND(I46&gt;0,SUMIFS($I$2:$I$201,$E$2:$E$201,E46,$AH$2:$AH$201,"Confirmado")=4)),"Sí","No"))))</f>
        <v/>
      </c>
      <c r="AM46" s="2" t="str">
        <f aca="false">IF(A46="","",IF(AH46&lt;&gt;"Confirmado","",IF(AG46="CO/SO₂ simultáneos",IF(OR(COUNTIFS($E$2:$E$201,E46,$AH$2:$AH$201,"Confirmado",$AG$2:$AG$201,"CO/SO₂ simultáneos")&gt;3,SUMIFS($J$2:$J$201,$E$2:$E$201,E46,$AH$2:$AH$201,"Confirmado",$AG$2:$AG$201,"CO/SO₂ simultáneos")&gt;6),"CAPACIDAD EXCEDIDA","OK"),IF(OR(SUMIFS($F$2:$F$201,$E$2:$E$201,E46,$AH$2:$AH$201,"Confirmado")&gt;4,SUMIFS($G$2:$G$201,$E$2:$E$201,E46,$AH$2:$AH$201,"Confirmado")&gt;4,SUMIFS($H$2:$H$201,$E$2:$E$201,E46,$AH$2:$AH$201,"Confirmado")&gt;4,SUMIFS($I$2:$I$201,$E$2:$E$201,E46,$AH$2:$AH$201,"Confirmado")&gt;4),"CAPACIDAD EXCEDIDA","OK"))))</f>
        <v/>
      </c>
      <c r="AN46" s="2" t="str">
        <f aca="true">IF(A46="","",IF(AND(AC46&lt;1,Q46&lt;TODAY(),AH46="Aceptado pendiente de pago/orden"),"PLAZO VENCIDO",IF(AND(AC46&lt;1,AD46&lt;&gt;"",AD46&lt;TODAY()),"VENCIDO","OK")))</f>
        <v/>
      </c>
      <c r="AO46" s="6"/>
      <c r="AP46" s="8"/>
      <c r="AQ46" s="6"/>
      <c r="AR46" s="6" t="s">
        <v>73</v>
      </c>
      <c r="AS46" s="6"/>
      <c r="AT46" s="6"/>
      <c r="AU46" s="6"/>
      <c r="AV46" s="6"/>
      <c r="AW46" s="8" t="str">
        <f aca="false">IF(AV46="","",AV46+60)</f>
        <v/>
      </c>
      <c r="AX46" s="11" t="str">
        <f aca="true">IF(A46="","",IF(AND(AV46&lt;&gt;"",AW46&lt;TODAY(),OR(AH46="Interés",AH46="Cotizado")),"Sí","No"))</f>
        <v/>
      </c>
      <c r="AY46" s="6"/>
      <c r="AZ46" s="6"/>
      <c r="BA46" s="6"/>
      <c r="BB46" s="6"/>
      <c r="BC46" s="4"/>
      <c r="BD46" s="12"/>
    </row>
    <row r="47" customFormat="false" ht="23.8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2" t="n">
        <f aca="false">SUM(F47:I47)</f>
        <v>0</v>
      </c>
      <c r="K47" s="6"/>
      <c r="L47" s="6"/>
      <c r="M47" s="7"/>
      <c r="N47" s="7"/>
      <c r="O47" s="8"/>
      <c r="P47" s="8"/>
      <c r="Q47" s="8"/>
      <c r="R47" s="8"/>
      <c r="S47" s="8"/>
      <c r="T47" s="6"/>
      <c r="U47" s="6"/>
      <c r="V47" s="6"/>
      <c r="W47" s="6"/>
      <c r="X47" s="8"/>
      <c r="Y47" s="6"/>
      <c r="Z47" s="6"/>
      <c r="AA47" s="7"/>
      <c r="AB47" s="9" t="str">
        <f aca="false">IF(N47="","",MAX(0,N47-AA47))</f>
        <v/>
      </c>
      <c r="AC47" s="10" t="str">
        <f aca="false">IF(N47="","",IF(N47=0,0,AA47/N47))</f>
        <v/>
      </c>
      <c r="AD47" s="8"/>
      <c r="AE47" s="6"/>
      <c r="AF47" s="6"/>
      <c r="AG47" s="6"/>
      <c r="AH47" s="6"/>
      <c r="AI47" s="2" t="str">
        <f aca="false">IF(A47="","",IF(V47="Yes",IF(U47="Yes",1,2),""))</f>
        <v/>
      </c>
      <c r="AJ47" s="8"/>
      <c r="AK47" s="2" t="str">
        <f aca="false">IF(A47="","",IF(AJ47="","",COUNTIFS($E$2:$E$201,E47,$AI$2:$AI$201,AI47,$AJ$2:$AJ$201,"&lt;="&amp;AJ47)))</f>
        <v/>
      </c>
      <c r="AL47" s="2" t="str">
        <f aca="false">IF(A47="","",IF(AH47&lt;&gt;"Confirmado","No",IF(AG47="CO/SO₂ simultáneos",IF(OR(COUNTIFS($E$2:$E$201,E47,$AH$2:$AH$201,"Confirmado",$AG$2:$AG$201,"CO/SO₂ simultáneos")=3,SUMIFS($J$2:$J$201,$E$2:$E$201,E47,$AH$2:$AH$201,"Confirmado",$AG$2:$AG$201,"CO/SO₂ simultáneos")=6),"Sí","No"),IF(OR(AND(F47&gt;0,SUMIFS($F$2:$F$201,$E$2:$E$201,E47,$AH$2:$AH$201,"Confirmado")=4),AND(G47&gt;0,SUMIFS($G$2:$G$201,$E$2:$E$201,E47,$AH$2:$AH$201,"Confirmado")=4),AND(H47&gt;0,SUMIFS($H$2:$H$201,$E$2:$E$201,E47,$AH$2:$AH$201,"Confirmado")=4),AND(I47&gt;0,SUMIFS($I$2:$I$201,$E$2:$E$201,E47,$AH$2:$AH$201,"Confirmado")=4)),"Sí","No"))))</f>
        <v/>
      </c>
      <c r="AM47" s="2" t="str">
        <f aca="false">IF(A47="","",IF(AH47&lt;&gt;"Confirmado","",IF(AG47="CO/SO₂ simultáneos",IF(OR(COUNTIFS($E$2:$E$201,E47,$AH$2:$AH$201,"Confirmado",$AG$2:$AG$201,"CO/SO₂ simultáneos")&gt;3,SUMIFS($J$2:$J$201,$E$2:$E$201,E47,$AH$2:$AH$201,"Confirmado",$AG$2:$AG$201,"CO/SO₂ simultáneos")&gt;6),"CAPACIDAD EXCEDIDA","OK"),IF(OR(SUMIFS($F$2:$F$201,$E$2:$E$201,E47,$AH$2:$AH$201,"Confirmado")&gt;4,SUMIFS($G$2:$G$201,$E$2:$E$201,E47,$AH$2:$AH$201,"Confirmado")&gt;4,SUMIFS($H$2:$H$201,$E$2:$E$201,E47,$AH$2:$AH$201,"Confirmado")&gt;4,SUMIFS($I$2:$I$201,$E$2:$E$201,E47,$AH$2:$AH$201,"Confirmado")&gt;4),"CAPACIDAD EXCEDIDA","OK"))))</f>
        <v/>
      </c>
      <c r="AN47" s="2" t="str">
        <f aca="true">IF(A47="","",IF(AND(AC47&lt;1,Q47&lt;TODAY(),AH47="Aceptado pendiente de pago/orden"),"PLAZO VENCIDO",IF(AND(AC47&lt;1,AD47&lt;&gt;"",AD47&lt;TODAY()),"VENCIDO","OK")))</f>
        <v/>
      </c>
      <c r="AO47" s="6"/>
      <c r="AP47" s="8"/>
      <c r="AQ47" s="6"/>
      <c r="AR47" s="6" t="s">
        <v>73</v>
      </c>
      <c r="AS47" s="6"/>
      <c r="AT47" s="6"/>
      <c r="AU47" s="6"/>
      <c r="AV47" s="6"/>
      <c r="AW47" s="8" t="str">
        <f aca="false">IF(AV47="","",AV47+60)</f>
        <v/>
      </c>
      <c r="AX47" s="11" t="str">
        <f aca="true">IF(A47="","",IF(AND(AV47&lt;&gt;"",AW47&lt;TODAY(),OR(AH47="Interés",AH47="Cotizado")),"Sí","No"))</f>
        <v/>
      </c>
      <c r="AY47" s="6"/>
      <c r="AZ47" s="6"/>
      <c r="BA47" s="6"/>
      <c r="BB47" s="6"/>
      <c r="BC47" s="4"/>
      <c r="BD47" s="12"/>
    </row>
    <row r="48" customFormat="false" ht="23.8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2" t="n">
        <f aca="false">SUM(F48:I48)</f>
        <v>0</v>
      </c>
      <c r="K48" s="6"/>
      <c r="L48" s="6"/>
      <c r="M48" s="7"/>
      <c r="N48" s="7"/>
      <c r="O48" s="8"/>
      <c r="P48" s="8"/>
      <c r="Q48" s="8"/>
      <c r="R48" s="8"/>
      <c r="S48" s="8"/>
      <c r="T48" s="6"/>
      <c r="U48" s="6"/>
      <c r="V48" s="6"/>
      <c r="W48" s="6"/>
      <c r="X48" s="8"/>
      <c r="Y48" s="6"/>
      <c r="Z48" s="6"/>
      <c r="AA48" s="7"/>
      <c r="AB48" s="9" t="str">
        <f aca="false">IF(N48="","",MAX(0,N48-AA48))</f>
        <v/>
      </c>
      <c r="AC48" s="10" t="str">
        <f aca="false">IF(N48="","",IF(N48=0,0,AA48/N48))</f>
        <v/>
      </c>
      <c r="AD48" s="8"/>
      <c r="AE48" s="6"/>
      <c r="AF48" s="6"/>
      <c r="AG48" s="6"/>
      <c r="AH48" s="6"/>
      <c r="AI48" s="2" t="str">
        <f aca="false">IF(A48="","",IF(V48="Yes",IF(U48="Yes",1,2),""))</f>
        <v/>
      </c>
      <c r="AJ48" s="8"/>
      <c r="AK48" s="2" t="str">
        <f aca="false">IF(A48="","",IF(AJ48="","",COUNTIFS($E$2:$E$201,E48,$AI$2:$AI$201,AI48,$AJ$2:$AJ$201,"&lt;="&amp;AJ48)))</f>
        <v/>
      </c>
      <c r="AL48" s="2" t="str">
        <f aca="false">IF(A48="","",IF(AH48&lt;&gt;"Confirmado","No",IF(AG48="CO/SO₂ simultáneos",IF(OR(COUNTIFS($E$2:$E$201,E48,$AH$2:$AH$201,"Confirmado",$AG$2:$AG$201,"CO/SO₂ simultáneos")=3,SUMIFS($J$2:$J$201,$E$2:$E$201,E48,$AH$2:$AH$201,"Confirmado",$AG$2:$AG$201,"CO/SO₂ simultáneos")=6),"Sí","No"),IF(OR(AND(F48&gt;0,SUMIFS($F$2:$F$201,$E$2:$E$201,E48,$AH$2:$AH$201,"Confirmado")=4),AND(G48&gt;0,SUMIFS($G$2:$G$201,$E$2:$E$201,E48,$AH$2:$AH$201,"Confirmado")=4),AND(H48&gt;0,SUMIFS($H$2:$H$201,$E$2:$E$201,E48,$AH$2:$AH$201,"Confirmado")=4),AND(I48&gt;0,SUMIFS($I$2:$I$201,$E$2:$E$201,E48,$AH$2:$AH$201,"Confirmado")=4)),"Sí","No"))))</f>
        <v/>
      </c>
      <c r="AM48" s="2" t="str">
        <f aca="false">IF(A48="","",IF(AH48&lt;&gt;"Confirmado","",IF(AG48="CO/SO₂ simultáneos",IF(OR(COUNTIFS($E$2:$E$201,E48,$AH$2:$AH$201,"Confirmado",$AG$2:$AG$201,"CO/SO₂ simultáneos")&gt;3,SUMIFS($J$2:$J$201,$E$2:$E$201,E48,$AH$2:$AH$201,"Confirmado",$AG$2:$AG$201,"CO/SO₂ simultáneos")&gt;6),"CAPACIDAD EXCEDIDA","OK"),IF(OR(SUMIFS($F$2:$F$201,$E$2:$E$201,E48,$AH$2:$AH$201,"Confirmado")&gt;4,SUMIFS($G$2:$G$201,$E$2:$E$201,E48,$AH$2:$AH$201,"Confirmado")&gt;4,SUMIFS($H$2:$H$201,$E$2:$E$201,E48,$AH$2:$AH$201,"Confirmado")&gt;4,SUMIFS($I$2:$I$201,$E$2:$E$201,E48,$AH$2:$AH$201,"Confirmado")&gt;4),"CAPACIDAD EXCEDIDA","OK"))))</f>
        <v/>
      </c>
      <c r="AN48" s="2" t="str">
        <f aca="true">IF(A48="","",IF(AND(AC48&lt;1,Q48&lt;TODAY(),AH48="Aceptado pendiente de pago/orden"),"PLAZO VENCIDO",IF(AND(AC48&lt;1,AD48&lt;&gt;"",AD48&lt;TODAY()),"VENCIDO","OK")))</f>
        <v/>
      </c>
      <c r="AO48" s="6"/>
      <c r="AP48" s="8"/>
      <c r="AQ48" s="6"/>
      <c r="AR48" s="6" t="s">
        <v>73</v>
      </c>
      <c r="AS48" s="6"/>
      <c r="AT48" s="6"/>
      <c r="AU48" s="6"/>
      <c r="AV48" s="6"/>
      <c r="AW48" s="8" t="str">
        <f aca="false">IF(AV48="","",AV48+60)</f>
        <v/>
      </c>
      <c r="AX48" s="11" t="str">
        <f aca="true">IF(A48="","",IF(AND(AV48&lt;&gt;"",AW48&lt;TODAY(),OR(AH48="Interés",AH48="Cotizado")),"Sí","No"))</f>
        <v/>
      </c>
      <c r="AY48" s="6"/>
      <c r="AZ48" s="6"/>
      <c r="BA48" s="6"/>
      <c r="BB48" s="6"/>
      <c r="BC48" s="4"/>
      <c r="BD48" s="12"/>
    </row>
    <row r="49" customFormat="false" ht="23.8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2" t="n">
        <f aca="false">SUM(F49:I49)</f>
        <v>0</v>
      </c>
      <c r="K49" s="6"/>
      <c r="L49" s="6"/>
      <c r="M49" s="7"/>
      <c r="N49" s="7"/>
      <c r="O49" s="8"/>
      <c r="P49" s="8"/>
      <c r="Q49" s="8"/>
      <c r="R49" s="8"/>
      <c r="S49" s="8"/>
      <c r="T49" s="6"/>
      <c r="U49" s="6"/>
      <c r="V49" s="6"/>
      <c r="W49" s="6"/>
      <c r="X49" s="8"/>
      <c r="Y49" s="6"/>
      <c r="Z49" s="6"/>
      <c r="AA49" s="7"/>
      <c r="AB49" s="9" t="str">
        <f aca="false">IF(N49="","",MAX(0,N49-AA49))</f>
        <v/>
      </c>
      <c r="AC49" s="10" t="str">
        <f aca="false">IF(N49="","",IF(N49=0,0,AA49/N49))</f>
        <v/>
      </c>
      <c r="AD49" s="8"/>
      <c r="AE49" s="6"/>
      <c r="AF49" s="6"/>
      <c r="AG49" s="6"/>
      <c r="AH49" s="6"/>
      <c r="AI49" s="2" t="str">
        <f aca="false">IF(A49="","",IF(V49="Yes",IF(U49="Yes",1,2),""))</f>
        <v/>
      </c>
      <c r="AJ49" s="8"/>
      <c r="AK49" s="2" t="str">
        <f aca="false">IF(A49="","",IF(AJ49="","",COUNTIFS($E$2:$E$201,E49,$AI$2:$AI$201,AI49,$AJ$2:$AJ$201,"&lt;="&amp;AJ49)))</f>
        <v/>
      </c>
      <c r="AL49" s="2" t="str">
        <f aca="false">IF(A49="","",IF(AH49&lt;&gt;"Confirmado","No",IF(AG49="CO/SO₂ simultáneos",IF(OR(COUNTIFS($E$2:$E$201,E49,$AH$2:$AH$201,"Confirmado",$AG$2:$AG$201,"CO/SO₂ simultáneos")=3,SUMIFS($J$2:$J$201,$E$2:$E$201,E49,$AH$2:$AH$201,"Confirmado",$AG$2:$AG$201,"CO/SO₂ simultáneos")=6),"Sí","No"),IF(OR(AND(F49&gt;0,SUMIFS($F$2:$F$201,$E$2:$E$201,E49,$AH$2:$AH$201,"Confirmado")=4),AND(G49&gt;0,SUMIFS($G$2:$G$201,$E$2:$E$201,E49,$AH$2:$AH$201,"Confirmado")=4),AND(H49&gt;0,SUMIFS($H$2:$H$201,$E$2:$E$201,E49,$AH$2:$AH$201,"Confirmado")=4),AND(I49&gt;0,SUMIFS($I$2:$I$201,$E$2:$E$201,E49,$AH$2:$AH$201,"Confirmado")=4)),"Sí","No"))))</f>
        <v/>
      </c>
      <c r="AM49" s="2" t="str">
        <f aca="false">IF(A49="","",IF(AH49&lt;&gt;"Confirmado","",IF(AG49="CO/SO₂ simultáneos",IF(OR(COUNTIFS($E$2:$E$201,E49,$AH$2:$AH$201,"Confirmado",$AG$2:$AG$201,"CO/SO₂ simultáneos")&gt;3,SUMIFS($J$2:$J$201,$E$2:$E$201,E49,$AH$2:$AH$201,"Confirmado",$AG$2:$AG$201,"CO/SO₂ simultáneos")&gt;6),"CAPACIDAD EXCEDIDA","OK"),IF(OR(SUMIFS($F$2:$F$201,$E$2:$E$201,E49,$AH$2:$AH$201,"Confirmado")&gt;4,SUMIFS($G$2:$G$201,$E$2:$E$201,E49,$AH$2:$AH$201,"Confirmado")&gt;4,SUMIFS($H$2:$H$201,$E$2:$E$201,E49,$AH$2:$AH$201,"Confirmado")&gt;4,SUMIFS($I$2:$I$201,$E$2:$E$201,E49,$AH$2:$AH$201,"Confirmado")&gt;4),"CAPACIDAD EXCEDIDA","OK"))))</f>
        <v/>
      </c>
      <c r="AN49" s="2" t="str">
        <f aca="true">IF(A49="","",IF(AND(AC49&lt;1,Q49&lt;TODAY(),AH49="Aceptado pendiente de pago/orden"),"PLAZO VENCIDO",IF(AND(AC49&lt;1,AD49&lt;&gt;"",AD49&lt;TODAY()),"VENCIDO","OK")))</f>
        <v/>
      </c>
      <c r="AO49" s="6"/>
      <c r="AP49" s="8"/>
      <c r="AQ49" s="6"/>
      <c r="AR49" s="6" t="s">
        <v>73</v>
      </c>
      <c r="AS49" s="6"/>
      <c r="AT49" s="6"/>
      <c r="AU49" s="6"/>
      <c r="AV49" s="6"/>
      <c r="AW49" s="8" t="str">
        <f aca="false">IF(AV49="","",AV49+60)</f>
        <v/>
      </c>
      <c r="AX49" s="11" t="str">
        <f aca="true">IF(A49="","",IF(AND(AV49&lt;&gt;"",AW49&lt;TODAY(),OR(AH49="Interés",AH49="Cotizado")),"Sí","No"))</f>
        <v/>
      </c>
      <c r="AY49" s="6"/>
      <c r="AZ49" s="6"/>
      <c r="BA49" s="6"/>
      <c r="BB49" s="6"/>
      <c r="BC49" s="4"/>
      <c r="BD49" s="12"/>
    </row>
    <row r="50" customFormat="false" ht="23.8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2" t="n">
        <f aca="false">SUM(F50:I50)</f>
        <v>0</v>
      </c>
      <c r="K50" s="6"/>
      <c r="L50" s="6"/>
      <c r="M50" s="7"/>
      <c r="N50" s="7"/>
      <c r="O50" s="8"/>
      <c r="P50" s="8"/>
      <c r="Q50" s="8"/>
      <c r="R50" s="8"/>
      <c r="S50" s="8"/>
      <c r="T50" s="6"/>
      <c r="U50" s="6"/>
      <c r="V50" s="6"/>
      <c r="W50" s="6"/>
      <c r="X50" s="8"/>
      <c r="Y50" s="6"/>
      <c r="Z50" s="6"/>
      <c r="AA50" s="7"/>
      <c r="AB50" s="9" t="str">
        <f aca="false">IF(N50="","",MAX(0,N50-AA50))</f>
        <v/>
      </c>
      <c r="AC50" s="10" t="str">
        <f aca="false">IF(N50="","",IF(N50=0,0,AA50/N50))</f>
        <v/>
      </c>
      <c r="AD50" s="8"/>
      <c r="AE50" s="6"/>
      <c r="AF50" s="6"/>
      <c r="AG50" s="6"/>
      <c r="AH50" s="6"/>
      <c r="AI50" s="2" t="str">
        <f aca="false">IF(A50="","",IF(V50="Yes",IF(U50="Yes",1,2),""))</f>
        <v/>
      </c>
      <c r="AJ50" s="8"/>
      <c r="AK50" s="2" t="str">
        <f aca="false">IF(A50="","",IF(AJ50="","",COUNTIFS($E$2:$E$201,E50,$AI$2:$AI$201,AI50,$AJ$2:$AJ$201,"&lt;="&amp;AJ50)))</f>
        <v/>
      </c>
      <c r="AL50" s="2" t="str">
        <f aca="false">IF(A50="","",IF(AH50&lt;&gt;"Confirmado","No",IF(AG50="CO/SO₂ simultáneos",IF(OR(COUNTIFS($E$2:$E$201,E50,$AH$2:$AH$201,"Confirmado",$AG$2:$AG$201,"CO/SO₂ simultáneos")=3,SUMIFS($J$2:$J$201,$E$2:$E$201,E50,$AH$2:$AH$201,"Confirmado",$AG$2:$AG$201,"CO/SO₂ simultáneos")=6),"Sí","No"),IF(OR(AND(F50&gt;0,SUMIFS($F$2:$F$201,$E$2:$E$201,E50,$AH$2:$AH$201,"Confirmado")=4),AND(G50&gt;0,SUMIFS($G$2:$G$201,$E$2:$E$201,E50,$AH$2:$AH$201,"Confirmado")=4),AND(H50&gt;0,SUMIFS($H$2:$H$201,$E$2:$E$201,E50,$AH$2:$AH$201,"Confirmado")=4),AND(I50&gt;0,SUMIFS($I$2:$I$201,$E$2:$E$201,E50,$AH$2:$AH$201,"Confirmado")=4)),"Sí","No"))))</f>
        <v/>
      </c>
      <c r="AM50" s="2" t="str">
        <f aca="false">IF(A50="","",IF(AH50&lt;&gt;"Confirmado","",IF(AG50="CO/SO₂ simultáneos",IF(OR(COUNTIFS($E$2:$E$201,E50,$AH$2:$AH$201,"Confirmado",$AG$2:$AG$201,"CO/SO₂ simultáneos")&gt;3,SUMIFS($J$2:$J$201,$E$2:$E$201,E50,$AH$2:$AH$201,"Confirmado",$AG$2:$AG$201,"CO/SO₂ simultáneos")&gt;6),"CAPACIDAD EXCEDIDA","OK"),IF(OR(SUMIFS($F$2:$F$201,$E$2:$E$201,E50,$AH$2:$AH$201,"Confirmado")&gt;4,SUMIFS($G$2:$G$201,$E$2:$E$201,E50,$AH$2:$AH$201,"Confirmado")&gt;4,SUMIFS($H$2:$H$201,$E$2:$E$201,E50,$AH$2:$AH$201,"Confirmado")&gt;4,SUMIFS($I$2:$I$201,$E$2:$E$201,E50,$AH$2:$AH$201,"Confirmado")&gt;4),"CAPACIDAD EXCEDIDA","OK"))))</f>
        <v/>
      </c>
      <c r="AN50" s="2" t="str">
        <f aca="true">IF(A50="","",IF(AND(AC50&lt;1,Q50&lt;TODAY(),AH50="Aceptado pendiente de pago/orden"),"PLAZO VENCIDO",IF(AND(AC50&lt;1,AD50&lt;&gt;"",AD50&lt;TODAY()),"VENCIDO","OK")))</f>
        <v/>
      </c>
      <c r="AO50" s="6"/>
      <c r="AP50" s="8"/>
      <c r="AQ50" s="6"/>
      <c r="AR50" s="6" t="s">
        <v>73</v>
      </c>
      <c r="AS50" s="6"/>
      <c r="AT50" s="6"/>
      <c r="AU50" s="6"/>
      <c r="AV50" s="6"/>
      <c r="AW50" s="8" t="str">
        <f aca="false">IF(AV50="","",AV50+60)</f>
        <v/>
      </c>
      <c r="AX50" s="11" t="str">
        <f aca="true">IF(A50="","",IF(AND(AV50&lt;&gt;"",AW50&lt;TODAY(),OR(AH50="Interés",AH50="Cotizado")),"Sí","No"))</f>
        <v/>
      </c>
      <c r="AY50" s="6"/>
      <c r="AZ50" s="6"/>
      <c r="BA50" s="6"/>
      <c r="BB50" s="6"/>
      <c r="BC50" s="4"/>
      <c r="BD50" s="12"/>
    </row>
    <row r="51" customFormat="false" ht="23.8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2" t="n">
        <f aca="false">SUM(F51:I51)</f>
        <v>0</v>
      </c>
      <c r="K51" s="6"/>
      <c r="L51" s="6"/>
      <c r="M51" s="7"/>
      <c r="N51" s="7"/>
      <c r="O51" s="8"/>
      <c r="P51" s="8"/>
      <c r="Q51" s="8"/>
      <c r="R51" s="8"/>
      <c r="S51" s="8"/>
      <c r="T51" s="6"/>
      <c r="U51" s="6"/>
      <c r="V51" s="6"/>
      <c r="W51" s="6"/>
      <c r="X51" s="8"/>
      <c r="Y51" s="6"/>
      <c r="Z51" s="6"/>
      <c r="AA51" s="7"/>
      <c r="AB51" s="9" t="str">
        <f aca="false">IF(N51="","",MAX(0,N51-AA51))</f>
        <v/>
      </c>
      <c r="AC51" s="10" t="str">
        <f aca="false">IF(N51="","",IF(N51=0,0,AA51/N51))</f>
        <v/>
      </c>
      <c r="AD51" s="8"/>
      <c r="AE51" s="6"/>
      <c r="AF51" s="6"/>
      <c r="AG51" s="6"/>
      <c r="AH51" s="6"/>
      <c r="AI51" s="2" t="str">
        <f aca="false">IF(A51="","",IF(V51="Yes",IF(U51="Yes",1,2),""))</f>
        <v/>
      </c>
      <c r="AJ51" s="8"/>
      <c r="AK51" s="2" t="str">
        <f aca="false">IF(A51="","",IF(AJ51="","",COUNTIFS($E$2:$E$201,E51,$AI$2:$AI$201,AI51,$AJ$2:$AJ$201,"&lt;="&amp;AJ51)))</f>
        <v/>
      </c>
      <c r="AL51" s="2" t="str">
        <f aca="false">IF(A51="","",IF(AH51&lt;&gt;"Confirmado","No",IF(AG51="CO/SO₂ simultáneos",IF(OR(COUNTIFS($E$2:$E$201,E51,$AH$2:$AH$201,"Confirmado",$AG$2:$AG$201,"CO/SO₂ simultáneos")=3,SUMIFS($J$2:$J$201,$E$2:$E$201,E51,$AH$2:$AH$201,"Confirmado",$AG$2:$AG$201,"CO/SO₂ simultáneos")=6),"Sí","No"),IF(OR(AND(F51&gt;0,SUMIFS($F$2:$F$201,$E$2:$E$201,E51,$AH$2:$AH$201,"Confirmado")=4),AND(G51&gt;0,SUMIFS($G$2:$G$201,$E$2:$E$201,E51,$AH$2:$AH$201,"Confirmado")=4),AND(H51&gt;0,SUMIFS($H$2:$H$201,$E$2:$E$201,E51,$AH$2:$AH$201,"Confirmado")=4),AND(I51&gt;0,SUMIFS($I$2:$I$201,$E$2:$E$201,E51,$AH$2:$AH$201,"Confirmado")=4)),"Sí","No"))))</f>
        <v/>
      </c>
      <c r="AM51" s="2" t="str">
        <f aca="false">IF(A51="","",IF(AH51&lt;&gt;"Confirmado","",IF(AG51="CO/SO₂ simultáneos",IF(OR(COUNTIFS($E$2:$E$201,E51,$AH$2:$AH$201,"Confirmado",$AG$2:$AG$201,"CO/SO₂ simultáneos")&gt;3,SUMIFS($J$2:$J$201,$E$2:$E$201,E51,$AH$2:$AH$201,"Confirmado",$AG$2:$AG$201,"CO/SO₂ simultáneos")&gt;6),"CAPACIDAD EXCEDIDA","OK"),IF(OR(SUMIFS($F$2:$F$201,$E$2:$E$201,E51,$AH$2:$AH$201,"Confirmado")&gt;4,SUMIFS($G$2:$G$201,$E$2:$E$201,E51,$AH$2:$AH$201,"Confirmado")&gt;4,SUMIFS($H$2:$H$201,$E$2:$E$201,E51,$AH$2:$AH$201,"Confirmado")&gt;4,SUMIFS($I$2:$I$201,$E$2:$E$201,E51,$AH$2:$AH$201,"Confirmado")&gt;4),"CAPACIDAD EXCEDIDA","OK"))))</f>
        <v/>
      </c>
      <c r="AN51" s="2" t="str">
        <f aca="true">IF(A51="","",IF(AND(AC51&lt;1,Q51&lt;TODAY(),AH51="Aceptado pendiente de pago/orden"),"PLAZO VENCIDO",IF(AND(AC51&lt;1,AD51&lt;&gt;"",AD51&lt;TODAY()),"VENCIDO","OK")))</f>
        <v/>
      </c>
      <c r="AO51" s="6"/>
      <c r="AP51" s="8"/>
      <c r="AQ51" s="6"/>
      <c r="AR51" s="6" t="s">
        <v>73</v>
      </c>
      <c r="AS51" s="6"/>
      <c r="AT51" s="6"/>
      <c r="AU51" s="6"/>
      <c r="AV51" s="6"/>
      <c r="AW51" s="8" t="str">
        <f aca="false">IF(AV51="","",AV51+60)</f>
        <v/>
      </c>
      <c r="AX51" s="11" t="str">
        <f aca="true">IF(A51="","",IF(AND(AV51&lt;&gt;"",AW51&lt;TODAY(),OR(AH51="Interés",AH51="Cotizado")),"Sí","No"))</f>
        <v/>
      </c>
      <c r="AY51" s="6"/>
      <c r="AZ51" s="6"/>
      <c r="BA51" s="6"/>
      <c r="BB51" s="6"/>
      <c r="BC51" s="4"/>
      <c r="BD51" s="12"/>
    </row>
    <row r="52" customFormat="false" ht="23.8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2" t="n">
        <f aca="false">SUM(F52:I52)</f>
        <v>0</v>
      </c>
      <c r="K52" s="6"/>
      <c r="L52" s="6"/>
      <c r="M52" s="7"/>
      <c r="N52" s="7"/>
      <c r="O52" s="8"/>
      <c r="P52" s="8"/>
      <c r="Q52" s="8"/>
      <c r="R52" s="8"/>
      <c r="S52" s="8"/>
      <c r="T52" s="6"/>
      <c r="U52" s="6"/>
      <c r="V52" s="6"/>
      <c r="W52" s="6"/>
      <c r="X52" s="8"/>
      <c r="Y52" s="6"/>
      <c r="Z52" s="6"/>
      <c r="AA52" s="7"/>
      <c r="AB52" s="9" t="str">
        <f aca="false">IF(N52="","",MAX(0,N52-AA52))</f>
        <v/>
      </c>
      <c r="AC52" s="10" t="str">
        <f aca="false">IF(N52="","",IF(N52=0,0,AA52/N52))</f>
        <v/>
      </c>
      <c r="AD52" s="8"/>
      <c r="AE52" s="6"/>
      <c r="AF52" s="6"/>
      <c r="AG52" s="6"/>
      <c r="AH52" s="6"/>
      <c r="AI52" s="2" t="str">
        <f aca="false">IF(A52="","",IF(V52="Yes",IF(U52="Yes",1,2),""))</f>
        <v/>
      </c>
      <c r="AJ52" s="8"/>
      <c r="AK52" s="2" t="str">
        <f aca="false">IF(A52="","",IF(AJ52="","",COUNTIFS($E$2:$E$201,E52,$AI$2:$AI$201,AI52,$AJ$2:$AJ$201,"&lt;="&amp;AJ52)))</f>
        <v/>
      </c>
      <c r="AL52" s="2" t="str">
        <f aca="false">IF(A52="","",IF(AH52&lt;&gt;"Confirmado","No",IF(AG52="CO/SO₂ simultáneos",IF(OR(COUNTIFS($E$2:$E$201,E52,$AH$2:$AH$201,"Confirmado",$AG$2:$AG$201,"CO/SO₂ simultáneos")=3,SUMIFS($J$2:$J$201,$E$2:$E$201,E52,$AH$2:$AH$201,"Confirmado",$AG$2:$AG$201,"CO/SO₂ simultáneos")=6),"Sí","No"),IF(OR(AND(F52&gt;0,SUMIFS($F$2:$F$201,$E$2:$E$201,E52,$AH$2:$AH$201,"Confirmado")=4),AND(G52&gt;0,SUMIFS($G$2:$G$201,$E$2:$E$201,E52,$AH$2:$AH$201,"Confirmado")=4),AND(H52&gt;0,SUMIFS($H$2:$H$201,$E$2:$E$201,E52,$AH$2:$AH$201,"Confirmado")=4),AND(I52&gt;0,SUMIFS($I$2:$I$201,$E$2:$E$201,E52,$AH$2:$AH$201,"Confirmado")=4)),"Sí","No"))))</f>
        <v/>
      </c>
      <c r="AM52" s="2" t="str">
        <f aca="false">IF(A52="","",IF(AH52&lt;&gt;"Confirmado","",IF(AG52="CO/SO₂ simultáneos",IF(OR(COUNTIFS($E$2:$E$201,E52,$AH$2:$AH$201,"Confirmado",$AG$2:$AG$201,"CO/SO₂ simultáneos")&gt;3,SUMIFS($J$2:$J$201,$E$2:$E$201,E52,$AH$2:$AH$201,"Confirmado",$AG$2:$AG$201,"CO/SO₂ simultáneos")&gt;6),"CAPACIDAD EXCEDIDA","OK"),IF(OR(SUMIFS($F$2:$F$201,$E$2:$E$201,E52,$AH$2:$AH$201,"Confirmado")&gt;4,SUMIFS($G$2:$G$201,$E$2:$E$201,E52,$AH$2:$AH$201,"Confirmado")&gt;4,SUMIFS($H$2:$H$201,$E$2:$E$201,E52,$AH$2:$AH$201,"Confirmado")&gt;4,SUMIFS($I$2:$I$201,$E$2:$E$201,E52,$AH$2:$AH$201,"Confirmado")&gt;4),"CAPACIDAD EXCEDIDA","OK"))))</f>
        <v/>
      </c>
      <c r="AN52" s="2" t="str">
        <f aca="true">IF(A52="","",IF(AND(AC52&lt;1,Q52&lt;TODAY(),AH52="Aceptado pendiente de pago/orden"),"PLAZO VENCIDO",IF(AND(AC52&lt;1,AD52&lt;&gt;"",AD52&lt;TODAY()),"VENCIDO","OK")))</f>
        <v/>
      </c>
      <c r="AO52" s="6"/>
      <c r="AP52" s="8"/>
      <c r="AQ52" s="6"/>
      <c r="AR52" s="6" t="s">
        <v>73</v>
      </c>
      <c r="AS52" s="6"/>
      <c r="AT52" s="6"/>
      <c r="AU52" s="6"/>
      <c r="AV52" s="6"/>
      <c r="AW52" s="8" t="str">
        <f aca="false">IF(AV52="","",AV52+60)</f>
        <v/>
      </c>
      <c r="AX52" s="11" t="str">
        <f aca="true">IF(A52="","",IF(AND(AV52&lt;&gt;"",AW52&lt;TODAY(),OR(AH52="Interés",AH52="Cotizado")),"Sí","No"))</f>
        <v/>
      </c>
      <c r="AY52" s="6"/>
      <c r="AZ52" s="6"/>
      <c r="BA52" s="6"/>
      <c r="BB52" s="6"/>
      <c r="BC52" s="4"/>
      <c r="BD52" s="12"/>
    </row>
    <row r="53" customFormat="false" ht="23.8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2" t="n">
        <f aca="false">SUM(F53:I53)</f>
        <v>0</v>
      </c>
      <c r="K53" s="6"/>
      <c r="L53" s="6"/>
      <c r="M53" s="7"/>
      <c r="N53" s="7"/>
      <c r="O53" s="8"/>
      <c r="P53" s="8"/>
      <c r="Q53" s="8"/>
      <c r="R53" s="8"/>
      <c r="S53" s="8"/>
      <c r="T53" s="6"/>
      <c r="U53" s="6"/>
      <c r="V53" s="6"/>
      <c r="W53" s="6"/>
      <c r="X53" s="8"/>
      <c r="Y53" s="6"/>
      <c r="Z53" s="6"/>
      <c r="AA53" s="7"/>
      <c r="AB53" s="9" t="str">
        <f aca="false">IF(N53="","",MAX(0,N53-AA53))</f>
        <v/>
      </c>
      <c r="AC53" s="10" t="str">
        <f aca="false">IF(N53="","",IF(N53=0,0,AA53/N53))</f>
        <v/>
      </c>
      <c r="AD53" s="8"/>
      <c r="AE53" s="6"/>
      <c r="AF53" s="6"/>
      <c r="AG53" s="6"/>
      <c r="AH53" s="6"/>
      <c r="AI53" s="2" t="str">
        <f aca="false">IF(A53="","",IF(V53="Yes",IF(U53="Yes",1,2),""))</f>
        <v/>
      </c>
      <c r="AJ53" s="8"/>
      <c r="AK53" s="2" t="str">
        <f aca="false">IF(A53="","",IF(AJ53="","",COUNTIFS($E$2:$E$201,E53,$AI$2:$AI$201,AI53,$AJ$2:$AJ$201,"&lt;="&amp;AJ53)))</f>
        <v/>
      </c>
      <c r="AL53" s="2" t="str">
        <f aca="false">IF(A53="","",IF(AH53&lt;&gt;"Confirmado","No",IF(AG53="CO/SO₂ simultáneos",IF(OR(COUNTIFS($E$2:$E$201,E53,$AH$2:$AH$201,"Confirmado",$AG$2:$AG$201,"CO/SO₂ simultáneos")=3,SUMIFS($J$2:$J$201,$E$2:$E$201,E53,$AH$2:$AH$201,"Confirmado",$AG$2:$AG$201,"CO/SO₂ simultáneos")=6),"Sí","No"),IF(OR(AND(F53&gt;0,SUMIFS($F$2:$F$201,$E$2:$E$201,E53,$AH$2:$AH$201,"Confirmado")=4),AND(G53&gt;0,SUMIFS($G$2:$G$201,$E$2:$E$201,E53,$AH$2:$AH$201,"Confirmado")=4),AND(H53&gt;0,SUMIFS($H$2:$H$201,$E$2:$E$201,E53,$AH$2:$AH$201,"Confirmado")=4),AND(I53&gt;0,SUMIFS($I$2:$I$201,$E$2:$E$201,E53,$AH$2:$AH$201,"Confirmado")=4)),"Sí","No"))))</f>
        <v/>
      </c>
      <c r="AM53" s="2" t="str">
        <f aca="false">IF(A53="","",IF(AH53&lt;&gt;"Confirmado","",IF(AG53="CO/SO₂ simultáneos",IF(OR(COUNTIFS($E$2:$E$201,E53,$AH$2:$AH$201,"Confirmado",$AG$2:$AG$201,"CO/SO₂ simultáneos")&gt;3,SUMIFS($J$2:$J$201,$E$2:$E$201,E53,$AH$2:$AH$201,"Confirmado",$AG$2:$AG$201,"CO/SO₂ simultáneos")&gt;6),"CAPACIDAD EXCEDIDA","OK"),IF(OR(SUMIFS($F$2:$F$201,$E$2:$E$201,E53,$AH$2:$AH$201,"Confirmado")&gt;4,SUMIFS($G$2:$G$201,$E$2:$E$201,E53,$AH$2:$AH$201,"Confirmado")&gt;4,SUMIFS($H$2:$H$201,$E$2:$E$201,E53,$AH$2:$AH$201,"Confirmado")&gt;4,SUMIFS($I$2:$I$201,$E$2:$E$201,E53,$AH$2:$AH$201,"Confirmado")&gt;4),"CAPACIDAD EXCEDIDA","OK"))))</f>
        <v/>
      </c>
      <c r="AN53" s="2" t="str">
        <f aca="true">IF(A53="","",IF(AND(AC53&lt;1,Q53&lt;TODAY(),AH53="Aceptado pendiente de pago/orden"),"PLAZO VENCIDO",IF(AND(AC53&lt;1,AD53&lt;&gt;"",AD53&lt;TODAY()),"VENCIDO","OK")))</f>
        <v/>
      </c>
      <c r="AO53" s="6"/>
      <c r="AP53" s="8"/>
      <c r="AQ53" s="6"/>
      <c r="AR53" s="6" t="s">
        <v>73</v>
      </c>
      <c r="AS53" s="6"/>
      <c r="AT53" s="6"/>
      <c r="AU53" s="6"/>
      <c r="AV53" s="6"/>
      <c r="AW53" s="8" t="str">
        <f aca="false">IF(AV53="","",AV53+60)</f>
        <v/>
      </c>
      <c r="AX53" s="11" t="str">
        <f aca="true">IF(A53="","",IF(AND(AV53&lt;&gt;"",AW53&lt;TODAY(),OR(AH53="Interés",AH53="Cotizado")),"Sí","No"))</f>
        <v/>
      </c>
      <c r="AY53" s="6"/>
      <c r="AZ53" s="6"/>
      <c r="BA53" s="6"/>
      <c r="BB53" s="6"/>
      <c r="BC53" s="4"/>
      <c r="BD53" s="12"/>
    </row>
    <row r="54" customFormat="false" ht="23.8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2" t="n">
        <f aca="false">SUM(F54:I54)</f>
        <v>0</v>
      </c>
      <c r="K54" s="6"/>
      <c r="L54" s="6"/>
      <c r="M54" s="7"/>
      <c r="N54" s="7"/>
      <c r="O54" s="8"/>
      <c r="P54" s="8"/>
      <c r="Q54" s="8"/>
      <c r="R54" s="8"/>
      <c r="S54" s="8"/>
      <c r="T54" s="6"/>
      <c r="U54" s="6"/>
      <c r="V54" s="6"/>
      <c r="W54" s="6"/>
      <c r="X54" s="8"/>
      <c r="Y54" s="6"/>
      <c r="Z54" s="6"/>
      <c r="AA54" s="7"/>
      <c r="AB54" s="9" t="str">
        <f aca="false">IF(N54="","",MAX(0,N54-AA54))</f>
        <v/>
      </c>
      <c r="AC54" s="10" t="str">
        <f aca="false">IF(N54="","",IF(N54=0,0,AA54/N54))</f>
        <v/>
      </c>
      <c r="AD54" s="8"/>
      <c r="AE54" s="6"/>
      <c r="AF54" s="6"/>
      <c r="AG54" s="6"/>
      <c r="AH54" s="6"/>
      <c r="AI54" s="2" t="str">
        <f aca="false">IF(A54="","",IF(V54="Yes",IF(U54="Yes",1,2),""))</f>
        <v/>
      </c>
      <c r="AJ54" s="8"/>
      <c r="AK54" s="2" t="str">
        <f aca="false">IF(A54="","",IF(AJ54="","",COUNTIFS($E$2:$E$201,E54,$AI$2:$AI$201,AI54,$AJ$2:$AJ$201,"&lt;="&amp;AJ54)))</f>
        <v/>
      </c>
      <c r="AL54" s="2" t="str">
        <f aca="false">IF(A54="","",IF(AH54&lt;&gt;"Confirmado","No",IF(AG54="CO/SO₂ simultáneos",IF(OR(COUNTIFS($E$2:$E$201,E54,$AH$2:$AH$201,"Confirmado",$AG$2:$AG$201,"CO/SO₂ simultáneos")=3,SUMIFS($J$2:$J$201,$E$2:$E$201,E54,$AH$2:$AH$201,"Confirmado",$AG$2:$AG$201,"CO/SO₂ simultáneos")=6),"Sí","No"),IF(OR(AND(F54&gt;0,SUMIFS($F$2:$F$201,$E$2:$E$201,E54,$AH$2:$AH$201,"Confirmado")=4),AND(G54&gt;0,SUMIFS($G$2:$G$201,$E$2:$E$201,E54,$AH$2:$AH$201,"Confirmado")=4),AND(H54&gt;0,SUMIFS($H$2:$H$201,$E$2:$E$201,E54,$AH$2:$AH$201,"Confirmado")=4),AND(I54&gt;0,SUMIFS($I$2:$I$201,$E$2:$E$201,E54,$AH$2:$AH$201,"Confirmado")=4)),"Sí","No"))))</f>
        <v/>
      </c>
      <c r="AM54" s="2" t="str">
        <f aca="false">IF(A54="","",IF(AH54&lt;&gt;"Confirmado","",IF(AG54="CO/SO₂ simultáneos",IF(OR(COUNTIFS($E$2:$E$201,E54,$AH$2:$AH$201,"Confirmado",$AG$2:$AG$201,"CO/SO₂ simultáneos")&gt;3,SUMIFS($J$2:$J$201,$E$2:$E$201,E54,$AH$2:$AH$201,"Confirmado",$AG$2:$AG$201,"CO/SO₂ simultáneos")&gt;6),"CAPACIDAD EXCEDIDA","OK"),IF(OR(SUMIFS($F$2:$F$201,$E$2:$E$201,E54,$AH$2:$AH$201,"Confirmado")&gt;4,SUMIFS($G$2:$G$201,$E$2:$E$201,E54,$AH$2:$AH$201,"Confirmado")&gt;4,SUMIFS($H$2:$H$201,$E$2:$E$201,E54,$AH$2:$AH$201,"Confirmado")&gt;4,SUMIFS($I$2:$I$201,$E$2:$E$201,E54,$AH$2:$AH$201,"Confirmado")&gt;4),"CAPACIDAD EXCEDIDA","OK"))))</f>
        <v/>
      </c>
      <c r="AN54" s="2" t="str">
        <f aca="true">IF(A54="","",IF(AND(AC54&lt;1,Q54&lt;TODAY(),AH54="Aceptado pendiente de pago/orden"),"PLAZO VENCIDO",IF(AND(AC54&lt;1,AD54&lt;&gt;"",AD54&lt;TODAY()),"VENCIDO","OK")))</f>
        <v/>
      </c>
      <c r="AO54" s="6"/>
      <c r="AP54" s="8"/>
      <c r="AQ54" s="6"/>
      <c r="AR54" s="6" t="s">
        <v>73</v>
      </c>
      <c r="AS54" s="6"/>
      <c r="AT54" s="6"/>
      <c r="AU54" s="6"/>
      <c r="AV54" s="6"/>
      <c r="AW54" s="8" t="str">
        <f aca="false">IF(AV54="","",AV54+60)</f>
        <v/>
      </c>
      <c r="AX54" s="11" t="str">
        <f aca="true">IF(A54="","",IF(AND(AV54&lt;&gt;"",AW54&lt;TODAY(),OR(AH54="Interés",AH54="Cotizado")),"Sí","No"))</f>
        <v/>
      </c>
      <c r="AY54" s="6"/>
      <c r="AZ54" s="6"/>
      <c r="BA54" s="6"/>
      <c r="BB54" s="6"/>
      <c r="BC54" s="4"/>
      <c r="BD54" s="12"/>
    </row>
    <row r="55" customFormat="false" ht="23.8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2" t="n">
        <f aca="false">SUM(F55:I55)</f>
        <v>0</v>
      </c>
      <c r="K55" s="6"/>
      <c r="L55" s="6"/>
      <c r="M55" s="7"/>
      <c r="N55" s="7"/>
      <c r="O55" s="8"/>
      <c r="P55" s="8"/>
      <c r="Q55" s="8"/>
      <c r="R55" s="8"/>
      <c r="S55" s="8"/>
      <c r="T55" s="6"/>
      <c r="U55" s="6"/>
      <c r="V55" s="6"/>
      <c r="W55" s="6"/>
      <c r="X55" s="8"/>
      <c r="Y55" s="6"/>
      <c r="Z55" s="6"/>
      <c r="AA55" s="7"/>
      <c r="AB55" s="9" t="str">
        <f aca="false">IF(N55="","",MAX(0,N55-AA55))</f>
        <v/>
      </c>
      <c r="AC55" s="10" t="str">
        <f aca="false">IF(N55="","",IF(N55=0,0,AA55/N55))</f>
        <v/>
      </c>
      <c r="AD55" s="8"/>
      <c r="AE55" s="6"/>
      <c r="AF55" s="6"/>
      <c r="AG55" s="6"/>
      <c r="AH55" s="6"/>
      <c r="AI55" s="2" t="str">
        <f aca="false">IF(A55="","",IF(V55="Yes",IF(U55="Yes",1,2),""))</f>
        <v/>
      </c>
      <c r="AJ55" s="8"/>
      <c r="AK55" s="2" t="str">
        <f aca="false">IF(A55="","",IF(AJ55="","",COUNTIFS($E$2:$E$201,E55,$AI$2:$AI$201,AI55,$AJ$2:$AJ$201,"&lt;="&amp;AJ55)))</f>
        <v/>
      </c>
      <c r="AL55" s="2" t="str">
        <f aca="false">IF(A55="","",IF(AH55&lt;&gt;"Confirmado","No",IF(AG55="CO/SO₂ simultáneos",IF(OR(COUNTIFS($E$2:$E$201,E55,$AH$2:$AH$201,"Confirmado",$AG$2:$AG$201,"CO/SO₂ simultáneos")=3,SUMIFS($J$2:$J$201,$E$2:$E$201,E55,$AH$2:$AH$201,"Confirmado",$AG$2:$AG$201,"CO/SO₂ simultáneos")=6),"Sí","No"),IF(OR(AND(F55&gt;0,SUMIFS($F$2:$F$201,$E$2:$E$201,E55,$AH$2:$AH$201,"Confirmado")=4),AND(G55&gt;0,SUMIFS($G$2:$G$201,$E$2:$E$201,E55,$AH$2:$AH$201,"Confirmado")=4),AND(H55&gt;0,SUMIFS($H$2:$H$201,$E$2:$E$201,E55,$AH$2:$AH$201,"Confirmado")=4),AND(I55&gt;0,SUMIFS($I$2:$I$201,$E$2:$E$201,E55,$AH$2:$AH$201,"Confirmado")=4)),"Sí","No"))))</f>
        <v/>
      </c>
      <c r="AM55" s="2" t="str">
        <f aca="false">IF(A55="","",IF(AH55&lt;&gt;"Confirmado","",IF(AG55="CO/SO₂ simultáneos",IF(OR(COUNTIFS($E$2:$E$201,E55,$AH$2:$AH$201,"Confirmado",$AG$2:$AG$201,"CO/SO₂ simultáneos")&gt;3,SUMIFS($J$2:$J$201,$E$2:$E$201,E55,$AH$2:$AH$201,"Confirmado",$AG$2:$AG$201,"CO/SO₂ simultáneos")&gt;6),"CAPACIDAD EXCEDIDA","OK"),IF(OR(SUMIFS($F$2:$F$201,$E$2:$E$201,E55,$AH$2:$AH$201,"Confirmado")&gt;4,SUMIFS($G$2:$G$201,$E$2:$E$201,E55,$AH$2:$AH$201,"Confirmado")&gt;4,SUMIFS($H$2:$H$201,$E$2:$E$201,E55,$AH$2:$AH$201,"Confirmado")&gt;4,SUMIFS($I$2:$I$201,$E$2:$E$201,E55,$AH$2:$AH$201,"Confirmado")&gt;4),"CAPACIDAD EXCEDIDA","OK"))))</f>
        <v/>
      </c>
      <c r="AN55" s="2" t="str">
        <f aca="true">IF(A55="","",IF(AND(AC55&lt;1,Q55&lt;TODAY(),AH55="Aceptado pendiente de pago/orden"),"PLAZO VENCIDO",IF(AND(AC55&lt;1,AD55&lt;&gt;"",AD55&lt;TODAY()),"VENCIDO","OK")))</f>
        <v/>
      </c>
      <c r="AO55" s="6"/>
      <c r="AP55" s="8"/>
      <c r="AQ55" s="6"/>
      <c r="AR55" s="6" t="s">
        <v>73</v>
      </c>
      <c r="AS55" s="6"/>
      <c r="AT55" s="6"/>
      <c r="AU55" s="6"/>
      <c r="AV55" s="6"/>
      <c r="AW55" s="8" t="str">
        <f aca="false">IF(AV55="","",AV55+60)</f>
        <v/>
      </c>
      <c r="AX55" s="11" t="str">
        <f aca="true">IF(A55="","",IF(AND(AV55&lt;&gt;"",AW55&lt;TODAY(),OR(AH55="Interés",AH55="Cotizado")),"Sí","No"))</f>
        <v/>
      </c>
      <c r="AY55" s="6"/>
      <c r="AZ55" s="6"/>
      <c r="BA55" s="6"/>
      <c r="BB55" s="6"/>
      <c r="BC55" s="4"/>
      <c r="BD55" s="12"/>
    </row>
    <row r="56" customFormat="false" ht="23.8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2" t="n">
        <f aca="false">SUM(F56:I56)</f>
        <v>0</v>
      </c>
      <c r="K56" s="6"/>
      <c r="L56" s="6"/>
      <c r="M56" s="7"/>
      <c r="N56" s="7"/>
      <c r="O56" s="8"/>
      <c r="P56" s="8"/>
      <c r="Q56" s="8"/>
      <c r="R56" s="8"/>
      <c r="S56" s="8"/>
      <c r="T56" s="6"/>
      <c r="U56" s="6"/>
      <c r="V56" s="6"/>
      <c r="W56" s="6"/>
      <c r="X56" s="8"/>
      <c r="Y56" s="6"/>
      <c r="Z56" s="6"/>
      <c r="AA56" s="7"/>
      <c r="AB56" s="9" t="str">
        <f aca="false">IF(N56="","",MAX(0,N56-AA56))</f>
        <v/>
      </c>
      <c r="AC56" s="10" t="str">
        <f aca="false">IF(N56="","",IF(N56=0,0,AA56/N56))</f>
        <v/>
      </c>
      <c r="AD56" s="8"/>
      <c r="AE56" s="6"/>
      <c r="AF56" s="6"/>
      <c r="AG56" s="6"/>
      <c r="AH56" s="6"/>
      <c r="AI56" s="2" t="str">
        <f aca="false">IF(A56="","",IF(V56="Yes",IF(U56="Yes",1,2),""))</f>
        <v/>
      </c>
      <c r="AJ56" s="8"/>
      <c r="AK56" s="2" t="str">
        <f aca="false">IF(A56="","",IF(AJ56="","",COUNTIFS($E$2:$E$201,E56,$AI$2:$AI$201,AI56,$AJ$2:$AJ$201,"&lt;="&amp;AJ56)))</f>
        <v/>
      </c>
      <c r="AL56" s="2" t="str">
        <f aca="false">IF(A56="","",IF(AH56&lt;&gt;"Confirmado","No",IF(AG56="CO/SO₂ simultáneos",IF(OR(COUNTIFS($E$2:$E$201,E56,$AH$2:$AH$201,"Confirmado",$AG$2:$AG$201,"CO/SO₂ simultáneos")=3,SUMIFS($J$2:$J$201,$E$2:$E$201,E56,$AH$2:$AH$201,"Confirmado",$AG$2:$AG$201,"CO/SO₂ simultáneos")=6),"Sí","No"),IF(OR(AND(F56&gt;0,SUMIFS($F$2:$F$201,$E$2:$E$201,E56,$AH$2:$AH$201,"Confirmado")=4),AND(G56&gt;0,SUMIFS($G$2:$G$201,$E$2:$E$201,E56,$AH$2:$AH$201,"Confirmado")=4),AND(H56&gt;0,SUMIFS($H$2:$H$201,$E$2:$E$201,E56,$AH$2:$AH$201,"Confirmado")=4),AND(I56&gt;0,SUMIFS($I$2:$I$201,$E$2:$E$201,E56,$AH$2:$AH$201,"Confirmado")=4)),"Sí","No"))))</f>
        <v/>
      </c>
      <c r="AM56" s="2" t="str">
        <f aca="false">IF(A56="","",IF(AH56&lt;&gt;"Confirmado","",IF(AG56="CO/SO₂ simultáneos",IF(OR(COUNTIFS($E$2:$E$201,E56,$AH$2:$AH$201,"Confirmado",$AG$2:$AG$201,"CO/SO₂ simultáneos")&gt;3,SUMIFS($J$2:$J$201,$E$2:$E$201,E56,$AH$2:$AH$201,"Confirmado",$AG$2:$AG$201,"CO/SO₂ simultáneos")&gt;6),"CAPACIDAD EXCEDIDA","OK"),IF(OR(SUMIFS($F$2:$F$201,$E$2:$E$201,E56,$AH$2:$AH$201,"Confirmado")&gt;4,SUMIFS($G$2:$G$201,$E$2:$E$201,E56,$AH$2:$AH$201,"Confirmado")&gt;4,SUMIFS($H$2:$H$201,$E$2:$E$201,E56,$AH$2:$AH$201,"Confirmado")&gt;4,SUMIFS($I$2:$I$201,$E$2:$E$201,E56,$AH$2:$AH$201,"Confirmado")&gt;4),"CAPACIDAD EXCEDIDA","OK"))))</f>
        <v/>
      </c>
      <c r="AN56" s="2" t="str">
        <f aca="true">IF(A56="","",IF(AND(AC56&lt;1,Q56&lt;TODAY(),AH56="Aceptado pendiente de pago/orden"),"PLAZO VENCIDO",IF(AND(AC56&lt;1,AD56&lt;&gt;"",AD56&lt;TODAY()),"VENCIDO","OK")))</f>
        <v/>
      </c>
      <c r="AO56" s="6"/>
      <c r="AP56" s="8"/>
      <c r="AQ56" s="6"/>
      <c r="AR56" s="6" t="s">
        <v>73</v>
      </c>
      <c r="AS56" s="6"/>
      <c r="AT56" s="6"/>
      <c r="AU56" s="6"/>
      <c r="AV56" s="6"/>
      <c r="AW56" s="8" t="str">
        <f aca="false">IF(AV56="","",AV56+60)</f>
        <v/>
      </c>
      <c r="AX56" s="11" t="str">
        <f aca="true">IF(A56="","",IF(AND(AV56&lt;&gt;"",AW56&lt;TODAY(),OR(AH56="Interés",AH56="Cotizado")),"Sí","No"))</f>
        <v/>
      </c>
      <c r="AY56" s="6"/>
      <c r="AZ56" s="6"/>
      <c r="BA56" s="6"/>
      <c r="BB56" s="6"/>
      <c r="BC56" s="4"/>
      <c r="BD56" s="12"/>
    </row>
    <row r="57" customFormat="false" ht="23.8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2" t="n">
        <f aca="false">SUM(F57:I57)</f>
        <v>0</v>
      </c>
      <c r="K57" s="6"/>
      <c r="L57" s="6"/>
      <c r="M57" s="7"/>
      <c r="N57" s="7"/>
      <c r="O57" s="8"/>
      <c r="P57" s="8"/>
      <c r="Q57" s="8"/>
      <c r="R57" s="8"/>
      <c r="S57" s="8"/>
      <c r="T57" s="6"/>
      <c r="U57" s="6"/>
      <c r="V57" s="6"/>
      <c r="W57" s="6"/>
      <c r="X57" s="8"/>
      <c r="Y57" s="6"/>
      <c r="Z57" s="6"/>
      <c r="AA57" s="7"/>
      <c r="AB57" s="9" t="str">
        <f aca="false">IF(N57="","",MAX(0,N57-AA57))</f>
        <v/>
      </c>
      <c r="AC57" s="10" t="str">
        <f aca="false">IF(N57="","",IF(N57=0,0,AA57/N57))</f>
        <v/>
      </c>
      <c r="AD57" s="8"/>
      <c r="AE57" s="6"/>
      <c r="AF57" s="6"/>
      <c r="AG57" s="6"/>
      <c r="AH57" s="6"/>
      <c r="AI57" s="2" t="str">
        <f aca="false">IF(A57="","",IF(V57="Yes",IF(U57="Yes",1,2),""))</f>
        <v/>
      </c>
      <c r="AJ57" s="8"/>
      <c r="AK57" s="2" t="str">
        <f aca="false">IF(A57="","",IF(AJ57="","",COUNTIFS($E$2:$E$201,E57,$AI$2:$AI$201,AI57,$AJ$2:$AJ$201,"&lt;="&amp;AJ57)))</f>
        <v/>
      </c>
      <c r="AL57" s="2" t="str">
        <f aca="false">IF(A57="","",IF(AH57&lt;&gt;"Confirmado","No",IF(AG57="CO/SO₂ simultáneos",IF(OR(COUNTIFS($E$2:$E$201,E57,$AH$2:$AH$201,"Confirmado",$AG$2:$AG$201,"CO/SO₂ simultáneos")=3,SUMIFS($J$2:$J$201,$E$2:$E$201,E57,$AH$2:$AH$201,"Confirmado",$AG$2:$AG$201,"CO/SO₂ simultáneos")=6),"Sí","No"),IF(OR(AND(F57&gt;0,SUMIFS($F$2:$F$201,$E$2:$E$201,E57,$AH$2:$AH$201,"Confirmado")=4),AND(G57&gt;0,SUMIFS($G$2:$G$201,$E$2:$E$201,E57,$AH$2:$AH$201,"Confirmado")=4),AND(H57&gt;0,SUMIFS($H$2:$H$201,$E$2:$E$201,E57,$AH$2:$AH$201,"Confirmado")=4),AND(I57&gt;0,SUMIFS($I$2:$I$201,$E$2:$E$201,E57,$AH$2:$AH$201,"Confirmado")=4)),"Sí","No"))))</f>
        <v/>
      </c>
      <c r="AM57" s="2" t="str">
        <f aca="false">IF(A57="","",IF(AH57&lt;&gt;"Confirmado","",IF(AG57="CO/SO₂ simultáneos",IF(OR(COUNTIFS($E$2:$E$201,E57,$AH$2:$AH$201,"Confirmado",$AG$2:$AG$201,"CO/SO₂ simultáneos")&gt;3,SUMIFS($J$2:$J$201,$E$2:$E$201,E57,$AH$2:$AH$201,"Confirmado",$AG$2:$AG$201,"CO/SO₂ simultáneos")&gt;6),"CAPACIDAD EXCEDIDA","OK"),IF(OR(SUMIFS($F$2:$F$201,$E$2:$E$201,E57,$AH$2:$AH$201,"Confirmado")&gt;4,SUMIFS($G$2:$G$201,$E$2:$E$201,E57,$AH$2:$AH$201,"Confirmado")&gt;4,SUMIFS($H$2:$H$201,$E$2:$E$201,E57,$AH$2:$AH$201,"Confirmado")&gt;4,SUMIFS($I$2:$I$201,$E$2:$E$201,E57,$AH$2:$AH$201,"Confirmado")&gt;4),"CAPACIDAD EXCEDIDA","OK"))))</f>
        <v/>
      </c>
      <c r="AN57" s="2" t="str">
        <f aca="true">IF(A57="","",IF(AND(AC57&lt;1,Q57&lt;TODAY(),AH57="Aceptado pendiente de pago/orden"),"PLAZO VENCIDO",IF(AND(AC57&lt;1,AD57&lt;&gt;"",AD57&lt;TODAY()),"VENCIDO","OK")))</f>
        <v/>
      </c>
      <c r="AO57" s="6"/>
      <c r="AP57" s="8"/>
      <c r="AQ57" s="6"/>
      <c r="AR57" s="6" t="s">
        <v>73</v>
      </c>
      <c r="AS57" s="6"/>
      <c r="AT57" s="6"/>
      <c r="AU57" s="6"/>
      <c r="AV57" s="6"/>
      <c r="AW57" s="8" t="str">
        <f aca="false">IF(AV57="","",AV57+60)</f>
        <v/>
      </c>
      <c r="AX57" s="11" t="str">
        <f aca="true">IF(A57="","",IF(AND(AV57&lt;&gt;"",AW57&lt;TODAY(),OR(AH57="Interés",AH57="Cotizado")),"Sí","No"))</f>
        <v/>
      </c>
      <c r="AY57" s="6"/>
      <c r="AZ57" s="6"/>
      <c r="BA57" s="6"/>
      <c r="BB57" s="6"/>
      <c r="BC57" s="4"/>
      <c r="BD57" s="12"/>
    </row>
    <row r="58" customFormat="false" ht="23.8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2" t="n">
        <f aca="false">SUM(F58:I58)</f>
        <v>0</v>
      </c>
      <c r="K58" s="6"/>
      <c r="L58" s="6"/>
      <c r="M58" s="7"/>
      <c r="N58" s="7"/>
      <c r="O58" s="8"/>
      <c r="P58" s="8"/>
      <c r="Q58" s="8"/>
      <c r="R58" s="8"/>
      <c r="S58" s="8"/>
      <c r="T58" s="6"/>
      <c r="U58" s="6"/>
      <c r="V58" s="6"/>
      <c r="W58" s="6"/>
      <c r="X58" s="8"/>
      <c r="Y58" s="6"/>
      <c r="Z58" s="6"/>
      <c r="AA58" s="7"/>
      <c r="AB58" s="9" t="str">
        <f aca="false">IF(N58="","",MAX(0,N58-AA58))</f>
        <v/>
      </c>
      <c r="AC58" s="10" t="str">
        <f aca="false">IF(N58="","",IF(N58=0,0,AA58/N58))</f>
        <v/>
      </c>
      <c r="AD58" s="8"/>
      <c r="AE58" s="6"/>
      <c r="AF58" s="6"/>
      <c r="AG58" s="6"/>
      <c r="AH58" s="6"/>
      <c r="AI58" s="2" t="str">
        <f aca="false">IF(A58="","",IF(V58="Yes",IF(U58="Yes",1,2),""))</f>
        <v/>
      </c>
      <c r="AJ58" s="8"/>
      <c r="AK58" s="2" t="str">
        <f aca="false">IF(A58="","",IF(AJ58="","",COUNTIFS($E$2:$E$201,E58,$AI$2:$AI$201,AI58,$AJ$2:$AJ$201,"&lt;="&amp;AJ58)))</f>
        <v/>
      </c>
      <c r="AL58" s="2" t="str">
        <f aca="false">IF(A58="","",IF(AH58&lt;&gt;"Confirmado","No",IF(AG58="CO/SO₂ simultáneos",IF(OR(COUNTIFS($E$2:$E$201,E58,$AH$2:$AH$201,"Confirmado",$AG$2:$AG$201,"CO/SO₂ simultáneos")=3,SUMIFS($J$2:$J$201,$E$2:$E$201,E58,$AH$2:$AH$201,"Confirmado",$AG$2:$AG$201,"CO/SO₂ simultáneos")=6),"Sí","No"),IF(OR(AND(F58&gt;0,SUMIFS($F$2:$F$201,$E$2:$E$201,E58,$AH$2:$AH$201,"Confirmado")=4),AND(G58&gt;0,SUMIFS($G$2:$G$201,$E$2:$E$201,E58,$AH$2:$AH$201,"Confirmado")=4),AND(H58&gt;0,SUMIFS($H$2:$H$201,$E$2:$E$201,E58,$AH$2:$AH$201,"Confirmado")=4),AND(I58&gt;0,SUMIFS($I$2:$I$201,$E$2:$E$201,E58,$AH$2:$AH$201,"Confirmado")=4)),"Sí","No"))))</f>
        <v/>
      </c>
      <c r="AM58" s="2" t="str">
        <f aca="false">IF(A58="","",IF(AH58&lt;&gt;"Confirmado","",IF(AG58="CO/SO₂ simultáneos",IF(OR(COUNTIFS($E$2:$E$201,E58,$AH$2:$AH$201,"Confirmado",$AG$2:$AG$201,"CO/SO₂ simultáneos")&gt;3,SUMIFS($J$2:$J$201,$E$2:$E$201,E58,$AH$2:$AH$201,"Confirmado",$AG$2:$AG$201,"CO/SO₂ simultáneos")&gt;6),"CAPACIDAD EXCEDIDA","OK"),IF(OR(SUMIFS($F$2:$F$201,$E$2:$E$201,E58,$AH$2:$AH$201,"Confirmado")&gt;4,SUMIFS($G$2:$G$201,$E$2:$E$201,E58,$AH$2:$AH$201,"Confirmado")&gt;4,SUMIFS($H$2:$H$201,$E$2:$E$201,E58,$AH$2:$AH$201,"Confirmado")&gt;4,SUMIFS($I$2:$I$201,$E$2:$E$201,E58,$AH$2:$AH$201,"Confirmado")&gt;4),"CAPACIDAD EXCEDIDA","OK"))))</f>
        <v/>
      </c>
      <c r="AN58" s="2" t="str">
        <f aca="true">IF(A58="","",IF(AND(AC58&lt;1,Q58&lt;TODAY(),AH58="Aceptado pendiente de pago/orden"),"PLAZO VENCIDO",IF(AND(AC58&lt;1,AD58&lt;&gt;"",AD58&lt;TODAY()),"VENCIDO","OK")))</f>
        <v/>
      </c>
      <c r="AO58" s="6"/>
      <c r="AP58" s="8"/>
      <c r="AQ58" s="6"/>
      <c r="AR58" s="6" t="s">
        <v>73</v>
      </c>
      <c r="AS58" s="6"/>
      <c r="AT58" s="6"/>
      <c r="AU58" s="6"/>
      <c r="AV58" s="6"/>
      <c r="AW58" s="8" t="str">
        <f aca="false">IF(AV58="","",AV58+60)</f>
        <v/>
      </c>
      <c r="AX58" s="11" t="str">
        <f aca="true">IF(A58="","",IF(AND(AV58&lt;&gt;"",AW58&lt;TODAY(),OR(AH58="Interés",AH58="Cotizado")),"Sí","No"))</f>
        <v/>
      </c>
      <c r="AY58" s="6"/>
      <c r="AZ58" s="6"/>
      <c r="BA58" s="6"/>
      <c r="BB58" s="6"/>
      <c r="BC58" s="4"/>
      <c r="BD58" s="12"/>
    </row>
    <row r="59" customFormat="false" ht="23.8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2" t="n">
        <f aca="false">SUM(F59:I59)</f>
        <v>0</v>
      </c>
      <c r="K59" s="6"/>
      <c r="L59" s="6"/>
      <c r="M59" s="7"/>
      <c r="N59" s="7"/>
      <c r="O59" s="8"/>
      <c r="P59" s="8"/>
      <c r="Q59" s="8"/>
      <c r="R59" s="8"/>
      <c r="S59" s="8"/>
      <c r="T59" s="6"/>
      <c r="U59" s="6"/>
      <c r="V59" s="6"/>
      <c r="W59" s="6"/>
      <c r="X59" s="8"/>
      <c r="Y59" s="6"/>
      <c r="Z59" s="6"/>
      <c r="AA59" s="7"/>
      <c r="AB59" s="9" t="str">
        <f aca="false">IF(N59="","",MAX(0,N59-AA59))</f>
        <v/>
      </c>
      <c r="AC59" s="10" t="str">
        <f aca="false">IF(N59="","",IF(N59=0,0,AA59/N59))</f>
        <v/>
      </c>
      <c r="AD59" s="8"/>
      <c r="AE59" s="6"/>
      <c r="AF59" s="6"/>
      <c r="AG59" s="6"/>
      <c r="AH59" s="6"/>
      <c r="AI59" s="2" t="str">
        <f aca="false">IF(A59="","",IF(V59="Yes",IF(U59="Yes",1,2),""))</f>
        <v/>
      </c>
      <c r="AJ59" s="8"/>
      <c r="AK59" s="2" t="str">
        <f aca="false">IF(A59="","",IF(AJ59="","",COUNTIFS($E$2:$E$201,E59,$AI$2:$AI$201,AI59,$AJ$2:$AJ$201,"&lt;="&amp;AJ59)))</f>
        <v/>
      </c>
      <c r="AL59" s="2" t="str">
        <f aca="false">IF(A59="","",IF(AH59&lt;&gt;"Confirmado","No",IF(AG59="CO/SO₂ simultáneos",IF(OR(COUNTIFS($E$2:$E$201,E59,$AH$2:$AH$201,"Confirmado",$AG$2:$AG$201,"CO/SO₂ simultáneos")=3,SUMIFS($J$2:$J$201,$E$2:$E$201,E59,$AH$2:$AH$201,"Confirmado",$AG$2:$AG$201,"CO/SO₂ simultáneos")=6),"Sí","No"),IF(OR(AND(F59&gt;0,SUMIFS($F$2:$F$201,$E$2:$E$201,E59,$AH$2:$AH$201,"Confirmado")=4),AND(G59&gt;0,SUMIFS($G$2:$G$201,$E$2:$E$201,E59,$AH$2:$AH$201,"Confirmado")=4),AND(H59&gt;0,SUMIFS($H$2:$H$201,$E$2:$E$201,E59,$AH$2:$AH$201,"Confirmado")=4),AND(I59&gt;0,SUMIFS($I$2:$I$201,$E$2:$E$201,E59,$AH$2:$AH$201,"Confirmado")=4)),"Sí","No"))))</f>
        <v/>
      </c>
      <c r="AM59" s="2" t="str">
        <f aca="false">IF(A59="","",IF(AH59&lt;&gt;"Confirmado","",IF(AG59="CO/SO₂ simultáneos",IF(OR(COUNTIFS($E$2:$E$201,E59,$AH$2:$AH$201,"Confirmado",$AG$2:$AG$201,"CO/SO₂ simultáneos")&gt;3,SUMIFS($J$2:$J$201,$E$2:$E$201,E59,$AH$2:$AH$201,"Confirmado",$AG$2:$AG$201,"CO/SO₂ simultáneos")&gt;6),"CAPACIDAD EXCEDIDA","OK"),IF(OR(SUMIFS($F$2:$F$201,$E$2:$E$201,E59,$AH$2:$AH$201,"Confirmado")&gt;4,SUMIFS($G$2:$G$201,$E$2:$E$201,E59,$AH$2:$AH$201,"Confirmado")&gt;4,SUMIFS($H$2:$H$201,$E$2:$E$201,E59,$AH$2:$AH$201,"Confirmado")&gt;4,SUMIFS($I$2:$I$201,$E$2:$E$201,E59,$AH$2:$AH$201,"Confirmado")&gt;4),"CAPACIDAD EXCEDIDA","OK"))))</f>
        <v/>
      </c>
      <c r="AN59" s="2" t="str">
        <f aca="true">IF(A59="","",IF(AND(AC59&lt;1,Q59&lt;TODAY(),AH59="Aceptado pendiente de pago/orden"),"PLAZO VENCIDO",IF(AND(AC59&lt;1,AD59&lt;&gt;"",AD59&lt;TODAY()),"VENCIDO","OK")))</f>
        <v/>
      </c>
      <c r="AO59" s="6"/>
      <c r="AP59" s="8"/>
      <c r="AQ59" s="6"/>
      <c r="AR59" s="6" t="s">
        <v>73</v>
      </c>
      <c r="AS59" s="6"/>
      <c r="AT59" s="6"/>
      <c r="AU59" s="6"/>
      <c r="AV59" s="6"/>
      <c r="AW59" s="8" t="str">
        <f aca="false">IF(AV59="","",AV59+60)</f>
        <v/>
      </c>
      <c r="AX59" s="11" t="str">
        <f aca="true">IF(A59="","",IF(AND(AV59&lt;&gt;"",AW59&lt;TODAY(),OR(AH59="Interés",AH59="Cotizado")),"Sí","No"))</f>
        <v/>
      </c>
      <c r="AY59" s="6"/>
      <c r="AZ59" s="6"/>
      <c r="BA59" s="6"/>
      <c r="BB59" s="6"/>
      <c r="BC59" s="4"/>
      <c r="BD59" s="12"/>
    </row>
    <row r="60" customFormat="false" ht="23.8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2" t="n">
        <f aca="false">SUM(F60:I60)</f>
        <v>0</v>
      </c>
      <c r="K60" s="6"/>
      <c r="L60" s="6"/>
      <c r="M60" s="7"/>
      <c r="N60" s="7"/>
      <c r="O60" s="8"/>
      <c r="P60" s="8"/>
      <c r="Q60" s="8"/>
      <c r="R60" s="8"/>
      <c r="S60" s="8"/>
      <c r="T60" s="6"/>
      <c r="U60" s="6"/>
      <c r="V60" s="6"/>
      <c r="W60" s="6"/>
      <c r="X60" s="8"/>
      <c r="Y60" s="6"/>
      <c r="Z60" s="6"/>
      <c r="AA60" s="7"/>
      <c r="AB60" s="9" t="str">
        <f aca="false">IF(N60="","",MAX(0,N60-AA60))</f>
        <v/>
      </c>
      <c r="AC60" s="10" t="str">
        <f aca="false">IF(N60="","",IF(N60=0,0,AA60/N60))</f>
        <v/>
      </c>
      <c r="AD60" s="8"/>
      <c r="AE60" s="6"/>
      <c r="AF60" s="6"/>
      <c r="AG60" s="6"/>
      <c r="AH60" s="6"/>
      <c r="AI60" s="2" t="str">
        <f aca="false">IF(A60="","",IF(V60="Yes",IF(U60="Yes",1,2),""))</f>
        <v/>
      </c>
      <c r="AJ60" s="8"/>
      <c r="AK60" s="2" t="str">
        <f aca="false">IF(A60="","",IF(AJ60="","",COUNTIFS($E$2:$E$201,E60,$AI$2:$AI$201,AI60,$AJ$2:$AJ$201,"&lt;="&amp;AJ60)))</f>
        <v/>
      </c>
      <c r="AL60" s="2" t="str">
        <f aca="false">IF(A60="","",IF(AH60&lt;&gt;"Confirmado","No",IF(AG60="CO/SO₂ simultáneos",IF(OR(COUNTIFS($E$2:$E$201,E60,$AH$2:$AH$201,"Confirmado",$AG$2:$AG$201,"CO/SO₂ simultáneos")=3,SUMIFS($J$2:$J$201,$E$2:$E$201,E60,$AH$2:$AH$201,"Confirmado",$AG$2:$AG$201,"CO/SO₂ simultáneos")=6),"Sí","No"),IF(OR(AND(F60&gt;0,SUMIFS($F$2:$F$201,$E$2:$E$201,E60,$AH$2:$AH$201,"Confirmado")=4),AND(G60&gt;0,SUMIFS($G$2:$G$201,$E$2:$E$201,E60,$AH$2:$AH$201,"Confirmado")=4),AND(H60&gt;0,SUMIFS($H$2:$H$201,$E$2:$E$201,E60,$AH$2:$AH$201,"Confirmado")=4),AND(I60&gt;0,SUMIFS($I$2:$I$201,$E$2:$E$201,E60,$AH$2:$AH$201,"Confirmado")=4)),"Sí","No"))))</f>
        <v/>
      </c>
      <c r="AM60" s="2" t="str">
        <f aca="false">IF(A60="","",IF(AH60&lt;&gt;"Confirmado","",IF(AG60="CO/SO₂ simultáneos",IF(OR(COUNTIFS($E$2:$E$201,E60,$AH$2:$AH$201,"Confirmado",$AG$2:$AG$201,"CO/SO₂ simultáneos")&gt;3,SUMIFS($J$2:$J$201,$E$2:$E$201,E60,$AH$2:$AH$201,"Confirmado",$AG$2:$AG$201,"CO/SO₂ simultáneos")&gt;6),"CAPACIDAD EXCEDIDA","OK"),IF(OR(SUMIFS($F$2:$F$201,$E$2:$E$201,E60,$AH$2:$AH$201,"Confirmado")&gt;4,SUMIFS($G$2:$G$201,$E$2:$E$201,E60,$AH$2:$AH$201,"Confirmado")&gt;4,SUMIFS($H$2:$H$201,$E$2:$E$201,E60,$AH$2:$AH$201,"Confirmado")&gt;4,SUMIFS($I$2:$I$201,$E$2:$E$201,E60,$AH$2:$AH$201,"Confirmado")&gt;4),"CAPACIDAD EXCEDIDA","OK"))))</f>
        <v/>
      </c>
      <c r="AN60" s="2" t="str">
        <f aca="true">IF(A60="","",IF(AND(AC60&lt;1,Q60&lt;TODAY(),AH60="Aceptado pendiente de pago/orden"),"PLAZO VENCIDO",IF(AND(AC60&lt;1,AD60&lt;&gt;"",AD60&lt;TODAY()),"VENCIDO","OK")))</f>
        <v/>
      </c>
      <c r="AO60" s="6"/>
      <c r="AP60" s="8"/>
      <c r="AQ60" s="6"/>
      <c r="AR60" s="6" t="s">
        <v>73</v>
      </c>
      <c r="AS60" s="6"/>
      <c r="AT60" s="6"/>
      <c r="AU60" s="6"/>
      <c r="AV60" s="6"/>
      <c r="AW60" s="8" t="str">
        <f aca="false">IF(AV60="","",AV60+60)</f>
        <v/>
      </c>
      <c r="AX60" s="11" t="str">
        <f aca="true">IF(A60="","",IF(AND(AV60&lt;&gt;"",AW60&lt;TODAY(),OR(AH60="Interés",AH60="Cotizado")),"Sí","No"))</f>
        <v/>
      </c>
      <c r="AY60" s="6"/>
      <c r="AZ60" s="6"/>
      <c r="BA60" s="6"/>
      <c r="BB60" s="6"/>
      <c r="BC60" s="4"/>
      <c r="BD60" s="12"/>
    </row>
    <row r="61" customFormat="false" ht="23.8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2" t="n">
        <f aca="false">SUM(F61:I61)</f>
        <v>0</v>
      </c>
      <c r="K61" s="6"/>
      <c r="L61" s="6"/>
      <c r="M61" s="7"/>
      <c r="N61" s="7"/>
      <c r="O61" s="8"/>
      <c r="P61" s="8"/>
      <c r="Q61" s="8"/>
      <c r="R61" s="8"/>
      <c r="S61" s="8"/>
      <c r="T61" s="6"/>
      <c r="U61" s="6"/>
      <c r="V61" s="6"/>
      <c r="W61" s="6"/>
      <c r="X61" s="8"/>
      <c r="Y61" s="6"/>
      <c r="Z61" s="6"/>
      <c r="AA61" s="7"/>
      <c r="AB61" s="9" t="str">
        <f aca="false">IF(N61="","",MAX(0,N61-AA61))</f>
        <v/>
      </c>
      <c r="AC61" s="10" t="str">
        <f aca="false">IF(N61="","",IF(N61=0,0,AA61/N61))</f>
        <v/>
      </c>
      <c r="AD61" s="8"/>
      <c r="AE61" s="6"/>
      <c r="AF61" s="6"/>
      <c r="AG61" s="6"/>
      <c r="AH61" s="6"/>
      <c r="AI61" s="2" t="str">
        <f aca="false">IF(A61="","",IF(V61="Yes",IF(U61="Yes",1,2),""))</f>
        <v/>
      </c>
      <c r="AJ61" s="8"/>
      <c r="AK61" s="2" t="str">
        <f aca="false">IF(A61="","",IF(AJ61="","",COUNTIFS($E$2:$E$201,E61,$AI$2:$AI$201,AI61,$AJ$2:$AJ$201,"&lt;="&amp;AJ61)))</f>
        <v/>
      </c>
      <c r="AL61" s="2" t="str">
        <f aca="false">IF(A61="","",IF(AH61&lt;&gt;"Confirmado","No",IF(AG61="CO/SO₂ simultáneos",IF(OR(COUNTIFS($E$2:$E$201,E61,$AH$2:$AH$201,"Confirmado",$AG$2:$AG$201,"CO/SO₂ simultáneos")=3,SUMIFS($J$2:$J$201,$E$2:$E$201,E61,$AH$2:$AH$201,"Confirmado",$AG$2:$AG$201,"CO/SO₂ simultáneos")=6),"Sí","No"),IF(OR(AND(F61&gt;0,SUMIFS($F$2:$F$201,$E$2:$E$201,E61,$AH$2:$AH$201,"Confirmado")=4),AND(G61&gt;0,SUMIFS($G$2:$G$201,$E$2:$E$201,E61,$AH$2:$AH$201,"Confirmado")=4),AND(H61&gt;0,SUMIFS($H$2:$H$201,$E$2:$E$201,E61,$AH$2:$AH$201,"Confirmado")=4),AND(I61&gt;0,SUMIFS($I$2:$I$201,$E$2:$E$201,E61,$AH$2:$AH$201,"Confirmado")=4)),"Sí","No"))))</f>
        <v/>
      </c>
      <c r="AM61" s="2" t="str">
        <f aca="false">IF(A61="","",IF(AH61&lt;&gt;"Confirmado","",IF(AG61="CO/SO₂ simultáneos",IF(OR(COUNTIFS($E$2:$E$201,E61,$AH$2:$AH$201,"Confirmado",$AG$2:$AG$201,"CO/SO₂ simultáneos")&gt;3,SUMIFS($J$2:$J$201,$E$2:$E$201,E61,$AH$2:$AH$201,"Confirmado",$AG$2:$AG$201,"CO/SO₂ simultáneos")&gt;6),"CAPACIDAD EXCEDIDA","OK"),IF(OR(SUMIFS($F$2:$F$201,$E$2:$E$201,E61,$AH$2:$AH$201,"Confirmado")&gt;4,SUMIFS($G$2:$G$201,$E$2:$E$201,E61,$AH$2:$AH$201,"Confirmado")&gt;4,SUMIFS($H$2:$H$201,$E$2:$E$201,E61,$AH$2:$AH$201,"Confirmado")&gt;4,SUMIFS($I$2:$I$201,$E$2:$E$201,E61,$AH$2:$AH$201,"Confirmado")&gt;4),"CAPACIDAD EXCEDIDA","OK"))))</f>
        <v/>
      </c>
      <c r="AN61" s="2" t="str">
        <f aca="true">IF(A61="","",IF(AND(AC61&lt;1,Q61&lt;TODAY(),AH61="Aceptado pendiente de pago/orden"),"PLAZO VENCIDO",IF(AND(AC61&lt;1,AD61&lt;&gt;"",AD61&lt;TODAY()),"VENCIDO","OK")))</f>
        <v/>
      </c>
      <c r="AO61" s="6"/>
      <c r="AP61" s="8"/>
      <c r="AQ61" s="6"/>
      <c r="AR61" s="6" t="s">
        <v>73</v>
      </c>
      <c r="AS61" s="6"/>
      <c r="AT61" s="6"/>
      <c r="AU61" s="6"/>
      <c r="AV61" s="6"/>
      <c r="AW61" s="8" t="str">
        <f aca="false">IF(AV61="","",AV61+60)</f>
        <v/>
      </c>
      <c r="AX61" s="11" t="str">
        <f aca="true">IF(A61="","",IF(AND(AV61&lt;&gt;"",AW61&lt;TODAY(),OR(AH61="Interés",AH61="Cotizado")),"Sí","No"))</f>
        <v/>
      </c>
      <c r="AY61" s="6"/>
      <c r="AZ61" s="6"/>
      <c r="BA61" s="6"/>
      <c r="BB61" s="6"/>
      <c r="BC61" s="4"/>
      <c r="BD61" s="12"/>
    </row>
    <row r="62" customFormat="false" ht="23.8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2" t="n">
        <f aca="false">SUM(F62:I62)</f>
        <v>0</v>
      </c>
      <c r="K62" s="6"/>
      <c r="L62" s="6"/>
      <c r="M62" s="7"/>
      <c r="N62" s="7"/>
      <c r="O62" s="8"/>
      <c r="P62" s="8"/>
      <c r="Q62" s="8"/>
      <c r="R62" s="8"/>
      <c r="S62" s="8"/>
      <c r="T62" s="6"/>
      <c r="U62" s="6"/>
      <c r="V62" s="6"/>
      <c r="W62" s="6"/>
      <c r="X62" s="8"/>
      <c r="Y62" s="6"/>
      <c r="Z62" s="6"/>
      <c r="AA62" s="7"/>
      <c r="AB62" s="9" t="str">
        <f aca="false">IF(N62="","",MAX(0,N62-AA62))</f>
        <v/>
      </c>
      <c r="AC62" s="10" t="str">
        <f aca="false">IF(N62="","",IF(N62=0,0,AA62/N62))</f>
        <v/>
      </c>
      <c r="AD62" s="8"/>
      <c r="AE62" s="6"/>
      <c r="AF62" s="6"/>
      <c r="AG62" s="6"/>
      <c r="AH62" s="6"/>
      <c r="AI62" s="2" t="str">
        <f aca="false">IF(A62="","",IF(V62="Yes",IF(U62="Yes",1,2),""))</f>
        <v/>
      </c>
      <c r="AJ62" s="8"/>
      <c r="AK62" s="2" t="str">
        <f aca="false">IF(A62="","",IF(AJ62="","",COUNTIFS($E$2:$E$201,E62,$AI$2:$AI$201,AI62,$AJ$2:$AJ$201,"&lt;="&amp;AJ62)))</f>
        <v/>
      </c>
      <c r="AL62" s="2" t="str">
        <f aca="false">IF(A62="","",IF(AH62&lt;&gt;"Confirmado","No",IF(AG62="CO/SO₂ simultáneos",IF(OR(COUNTIFS($E$2:$E$201,E62,$AH$2:$AH$201,"Confirmado",$AG$2:$AG$201,"CO/SO₂ simultáneos")=3,SUMIFS($J$2:$J$201,$E$2:$E$201,E62,$AH$2:$AH$201,"Confirmado",$AG$2:$AG$201,"CO/SO₂ simultáneos")=6),"Sí","No"),IF(OR(AND(F62&gt;0,SUMIFS($F$2:$F$201,$E$2:$E$201,E62,$AH$2:$AH$201,"Confirmado")=4),AND(G62&gt;0,SUMIFS($G$2:$G$201,$E$2:$E$201,E62,$AH$2:$AH$201,"Confirmado")=4),AND(H62&gt;0,SUMIFS($H$2:$H$201,$E$2:$E$201,E62,$AH$2:$AH$201,"Confirmado")=4),AND(I62&gt;0,SUMIFS($I$2:$I$201,$E$2:$E$201,E62,$AH$2:$AH$201,"Confirmado")=4)),"Sí","No"))))</f>
        <v/>
      </c>
      <c r="AM62" s="2" t="str">
        <f aca="false">IF(A62="","",IF(AH62&lt;&gt;"Confirmado","",IF(AG62="CO/SO₂ simultáneos",IF(OR(COUNTIFS($E$2:$E$201,E62,$AH$2:$AH$201,"Confirmado",$AG$2:$AG$201,"CO/SO₂ simultáneos")&gt;3,SUMIFS($J$2:$J$201,$E$2:$E$201,E62,$AH$2:$AH$201,"Confirmado",$AG$2:$AG$201,"CO/SO₂ simultáneos")&gt;6),"CAPACIDAD EXCEDIDA","OK"),IF(OR(SUMIFS($F$2:$F$201,$E$2:$E$201,E62,$AH$2:$AH$201,"Confirmado")&gt;4,SUMIFS($G$2:$G$201,$E$2:$E$201,E62,$AH$2:$AH$201,"Confirmado")&gt;4,SUMIFS($H$2:$H$201,$E$2:$E$201,E62,$AH$2:$AH$201,"Confirmado")&gt;4,SUMIFS($I$2:$I$201,$E$2:$E$201,E62,$AH$2:$AH$201,"Confirmado")&gt;4),"CAPACIDAD EXCEDIDA","OK"))))</f>
        <v/>
      </c>
      <c r="AN62" s="2" t="str">
        <f aca="true">IF(A62="","",IF(AND(AC62&lt;1,Q62&lt;TODAY(),AH62="Aceptado pendiente de pago/orden"),"PLAZO VENCIDO",IF(AND(AC62&lt;1,AD62&lt;&gt;"",AD62&lt;TODAY()),"VENCIDO","OK")))</f>
        <v/>
      </c>
      <c r="AO62" s="6"/>
      <c r="AP62" s="8"/>
      <c r="AQ62" s="6"/>
      <c r="AR62" s="6" t="s">
        <v>73</v>
      </c>
      <c r="AS62" s="6"/>
      <c r="AT62" s="6"/>
      <c r="AU62" s="6"/>
      <c r="AV62" s="6"/>
      <c r="AW62" s="8" t="str">
        <f aca="false">IF(AV62="","",AV62+60)</f>
        <v/>
      </c>
      <c r="AX62" s="11" t="str">
        <f aca="true">IF(A62="","",IF(AND(AV62&lt;&gt;"",AW62&lt;TODAY(),OR(AH62="Interés",AH62="Cotizado")),"Sí","No"))</f>
        <v/>
      </c>
      <c r="AY62" s="6"/>
      <c r="AZ62" s="6"/>
      <c r="BA62" s="6"/>
      <c r="BB62" s="6"/>
      <c r="BC62" s="4"/>
      <c r="BD62" s="12"/>
    </row>
    <row r="63" customFormat="false" ht="23.8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2" t="n">
        <f aca="false">SUM(F63:I63)</f>
        <v>0</v>
      </c>
      <c r="K63" s="6"/>
      <c r="L63" s="6"/>
      <c r="M63" s="7"/>
      <c r="N63" s="7"/>
      <c r="O63" s="8"/>
      <c r="P63" s="8"/>
      <c r="Q63" s="8"/>
      <c r="R63" s="8"/>
      <c r="S63" s="8"/>
      <c r="T63" s="6"/>
      <c r="U63" s="6"/>
      <c r="V63" s="6"/>
      <c r="W63" s="6"/>
      <c r="X63" s="8"/>
      <c r="Y63" s="6"/>
      <c r="Z63" s="6"/>
      <c r="AA63" s="7"/>
      <c r="AB63" s="9" t="str">
        <f aca="false">IF(N63="","",MAX(0,N63-AA63))</f>
        <v/>
      </c>
      <c r="AC63" s="10" t="str">
        <f aca="false">IF(N63="","",IF(N63=0,0,AA63/N63))</f>
        <v/>
      </c>
      <c r="AD63" s="8"/>
      <c r="AE63" s="6"/>
      <c r="AF63" s="6"/>
      <c r="AG63" s="6"/>
      <c r="AH63" s="6"/>
      <c r="AI63" s="2" t="str">
        <f aca="false">IF(A63="","",IF(V63="Yes",IF(U63="Yes",1,2),""))</f>
        <v/>
      </c>
      <c r="AJ63" s="8"/>
      <c r="AK63" s="2" t="str">
        <f aca="false">IF(A63="","",IF(AJ63="","",COUNTIFS($E$2:$E$201,E63,$AI$2:$AI$201,AI63,$AJ$2:$AJ$201,"&lt;="&amp;AJ63)))</f>
        <v/>
      </c>
      <c r="AL63" s="2" t="str">
        <f aca="false">IF(A63="","",IF(AH63&lt;&gt;"Confirmado","No",IF(AG63="CO/SO₂ simultáneos",IF(OR(COUNTIFS($E$2:$E$201,E63,$AH$2:$AH$201,"Confirmado",$AG$2:$AG$201,"CO/SO₂ simultáneos")=3,SUMIFS($J$2:$J$201,$E$2:$E$201,E63,$AH$2:$AH$201,"Confirmado",$AG$2:$AG$201,"CO/SO₂ simultáneos")=6),"Sí","No"),IF(OR(AND(F63&gt;0,SUMIFS($F$2:$F$201,$E$2:$E$201,E63,$AH$2:$AH$201,"Confirmado")=4),AND(G63&gt;0,SUMIFS($G$2:$G$201,$E$2:$E$201,E63,$AH$2:$AH$201,"Confirmado")=4),AND(H63&gt;0,SUMIFS($H$2:$H$201,$E$2:$E$201,E63,$AH$2:$AH$201,"Confirmado")=4),AND(I63&gt;0,SUMIFS($I$2:$I$201,$E$2:$E$201,E63,$AH$2:$AH$201,"Confirmado")=4)),"Sí","No"))))</f>
        <v/>
      </c>
      <c r="AM63" s="2" t="str">
        <f aca="false">IF(A63="","",IF(AH63&lt;&gt;"Confirmado","",IF(AG63="CO/SO₂ simultáneos",IF(OR(COUNTIFS($E$2:$E$201,E63,$AH$2:$AH$201,"Confirmado",$AG$2:$AG$201,"CO/SO₂ simultáneos")&gt;3,SUMIFS($J$2:$J$201,$E$2:$E$201,E63,$AH$2:$AH$201,"Confirmado",$AG$2:$AG$201,"CO/SO₂ simultáneos")&gt;6),"CAPACIDAD EXCEDIDA","OK"),IF(OR(SUMIFS($F$2:$F$201,$E$2:$E$201,E63,$AH$2:$AH$201,"Confirmado")&gt;4,SUMIFS($G$2:$G$201,$E$2:$E$201,E63,$AH$2:$AH$201,"Confirmado")&gt;4,SUMIFS($H$2:$H$201,$E$2:$E$201,E63,$AH$2:$AH$201,"Confirmado")&gt;4,SUMIFS($I$2:$I$201,$E$2:$E$201,E63,$AH$2:$AH$201,"Confirmado")&gt;4),"CAPACIDAD EXCEDIDA","OK"))))</f>
        <v/>
      </c>
      <c r="AN63" s="2" t="str">
        <f aca="true">IF(A63="","",IF(AND(AC63&lt;1,Q63&lt;TODAY(),AH63="Aceptado pendiente de pago/orden"),"PLAZO VENCIDO",IF(AND(AC63&lt;1,AD63&lt;&gt;"",AD63&lt;TODAY()),"VENCIDO","OK")))</f>
        <v/>
      </c>
      <c r="AO63" s="6"/>
      <c r="AP63" s="8"/>
      <c r="AQ63" s="6"/>
      <c r="AR63" s="6" t="s">
        <v>73</v>
      </c>
      <c r="AS63" s="6"/>
      <c r="AT63" s="6"/>
      <c r="AU63" s="6"/>
      <c r="AV63" s="6"/>
      <c r="AW63" s="8" t="str">
        <f aca="false">IF(AV63="","",AV63+60)</f>
        <v/>
      </c>
      <c r="AX63" s="11" t="str">
        <f aca="true">IF(A63="","",IF(AND(AV63&lt;&gt;"",AW63&lt;TODAY(),OR(AH63="Interés",AH63="Cotizado")),"Sí","No"))</f>
        <v/>
      </c>
      <c r="AY63" s="6"/>
      <c r="AZ63" s="6"/>
      <c r="BA63" s="6"/>
      <c r="BB63" s="6"/>
      <c r="BC63" s="4"/>
      <c r="BD63" s="12"/>
    </row>
    <row r="64" customFormat="false" ht="23.8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2" t="n">
        <f aca="false">SUM(F64:I64)</f>
        <v>0</v>
      </c>
      <c r="K64" s="6"/>
      <c r="L64" s="6"/>
      <c r="M64" s="7"/>
      <c r="N64" s="7"/>
      <c r="O64" s="8"/>
      <c r="P64" s="8"/>
      <c r="Q64" s="8"/>
      <c r="R64" s="8"/>
      <c r="S64" s="8"/>
      <c r="T64" s="6"/>
      <c r="U64" s="6"/>
      <c r="V64" s="6"/>
      <c r="W64" s="6"/>
      <c r="X64" s="8"/>
      <c r="Y64" s="6"/>
      <c r="Z64" s="6"/>
      <c r="AA64" s="7"/>
      <c r="AB64" s="9" t="str">
        <f aca="false">IF(N64="","",MAX(0,N64-AA64))</f>
        <v/>
      </c>
      <c r="AC64" s="10" t="str">
        <f aca="false">IF(N64="","",IF(N64=0,0,AA64/N64))</f>
        <v/>
      </c>
      <c r="AD64" s="8"/>
      <c r="AE64" s="6"/>
      <c r="AF64" s="6"/>
      <c r="AG64" s="6"/>
      <c r="AH64" s="6"/>
      <c r="AI64" s="2" t="str">
        <f aca="false">IF(A64="","",IF(V64="Yes",IF(U64="Yes",1,2),""))</f>
        <v/>
      </c>
      <c r="AJ64" s="8"/>
      <c r="AK64" s="2" t="str">
        <f aca="false">IF(A64="","",IF(AJ64="","",COUNTIFS($E$2:$E$201,E64,$AI$2:$AI$201,AI64,$AJ$2:$AJ$201,"&lt;="&amp;AJ64)))</f>
        <v/>
      </c>
      <c r="AL64" s="2" t="str">
        <f aca="false">IF(A64="","",IF(AH64&lt;&gt;"Confirmado","No",IF(AG64="CO/SO₂ simultáneos",IF(OR(COUNTIFS($E$2:$E$201,E64,$AH$2:$AH$201,"Confirmado",$AG$2:$AG$201,"CO/SO₂ simultáneos")=3,SUMIFS($J$2:$J$201,$E$2:$E$201,E64,$AH$2:$AH$201,"Confirmado",$AG$2:$AG$201,"CO/SO₂ simultáneos")=6),"Sí","No"),IF(OR(AND(F64&gt;0,SUMIFS($F$2:$F$201,$E$2:$E$201,E64,$AH$2:$AH$201,"Confirmado")=4),AND(G64&gt;0,SUMIFS($G$2:$G$201,$E$2:$E$201,E64,$AH$2:$AH$201,"Confirmado")=4),AND(H64&gt;0,SUMIFS($H$2:$H$201,$E$2:$E$201,E64,$AH$2:$AH$201,"Confirmado")=4),AND(I64&gt;0,SUMIFS($I$2:$I$201,$E$2:$E$201,E64,$AH$2:$AH$201,"Confirmado")=4)),"Sí","No"))))</f>
        <v/>
      </c>
      <c r="AM64" s="2" t="str">
        <f aca="false">IF(A64="","",IF(AH64&lt;&gt;"Confirmado","",IF(AG64="CO/SO₂ simultáneos",IF(OR(COUNTIFS($E$2:$E$201,E64,$AH$2:$AH$201,"Confirmado",$AG$2:$AG$201,"CO/SO₂ simultáneos")&gt;3,SUMIFS($J$2:$J$201,$E$2:$E$201,E64,$AH$2:$AH$201,"Confirmado",$AG$2:$AG$201,"CO/SO₂ simultáneos")&gt;6),"CAPACIDAD EXCEDIDA","OK"),IF(OR(SUMIFS($F$2:$F$201,$E$2:$E$201,E64,$AH$2:$AH$201,"Confirmado")&gt;4,SUMIFS($G$2:$G$201,$E$2:$E$201,E64,$AH$2:$AH$201,"Confirmado")&gt;4,SUMIFS($H$2:$H$201,$E$2:$E$201,E64,$AH$2:$AH$201,"Confirmado")&gt;4,SUMIFS($I$2:$I$201,$E$2:$E$201,E64,$AH$2:$AH$201,"Confirmado")&gt;4),"CAPACIDAD EXCEDIDA","OK"))))</f>
        <v/>
      </c>
      <c r="AN64" s="2" t="str">
        <f aca="true">IF(A64="","",IF(AND(AC64&lt;1,Q64&lt;TODAY(),AH64="Aceptado pendiente de pago/orden"),"PLAZO VENCIDO",IF(AND(AC64&lt;1,AD64&lt;&gt;"",AD64&lt;TODAY()),"VENCIDO","OK")))</f>
        <v/>
      </c>
      <c r="AO64" s="6"/>
      <c r="AP64" s="8"/>
      <c r="AQ64" s="6"/>
      <c r="AR64" s="6" t="s">
        <v>73</v>
      </c>
      <c r="AS64" s="6"/>
      <c r="AT64" s="6"/>
      <c r="AU64" s="6"/>
      <c r="AV64" s="6"/>
      <c r="AW64" s="8" t="str">
        <f aca="false">IF(AV64="","",AV64+60)</f>
        <v/>
      </c>
      <c r="AX64" s="11" t="str">
        <f aca="true">IF(A64="","",IF(AND(AV64&lt;&gt;"",AW64&lt;TODAY(),OR(AH64="Interés",AH64="Cotizado")),"Sí","No"))</f>
        <v/>
      </c>
      <c r="AY64" s="6"/>
      <c r="AZ64" s="6"/>
      <c r="BA64" s="6"/>
      <c r="BB64" s="6"/>
      <c r="BC64" s="4"/>
      <c r="BD64" s="12"/>
    </row>
    <row r="65" customFormat="false" ht="23.8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2" t="n">
        <f aca="false">SUM(F65:I65)</f>
        <v>0</v>
      </c>
      <c r="K65" s="6"/>
      <c r="L65" s="6"/>
      <c r="M65" s="7"/>
      <c r="N65" s="7"/>
      <c r="O65" s="8"/>
      <c r="P65" s="8"/>
      <c r="Q65" s="8"/>
      <c r="R65" s="8"/>
      <c r="S65" s="8"/>
      <c r="T65" s="6"/>
      <c r="U65" s="6"/>
      <c r="V65" s="6"/>
      <c r="W65" s="6"/>
      <c r="X65" s="8"/>
      <c r="Y65" s="6"/>
      <c r="Z65" s="6"/>
      <c r="AA65" s="7"/>
      <c r="AB65" s="9" t="str">
        <f aca="false">IF(N65="","",MAX(0,N65-AA65))</f>
        <v/>
      </c>
      <c r="AC65" s="10" t="str">
        <f aca="false">IF(N65="","",IF(N65=0,0,AA65/N65))</f>
        <v/>
      </c>
      <c r="AD65" s="8"/>
      <c r="AE65" s="6"/>
      <c r="AF65" s="6"/>
      <c r="AG65" s="6"/>
      <c r="AH65" s="6"/>
      <c r="AI65" s="2" t="str">
        <f aca="false">IF(A65="","",IF(V65="Yes",IF(U65="Yes",1,2),""))</f>
        <v/>
      </c>
      <c r="AJ65" s="8"/>
      <c r="AK65" s="2" t="str">
        <f aca="false">IF(A65="","",IF(AJ65="","",COUNTIFS($E$2:$E$201,E65,$AI$2:$AI$201,AI65,$AJ$2:$AJ$201,"&lt;="&amp;AJ65)))</f>
        <v/>
      </c>
      <c r="AL65" s="2" t="str">
        <f aca="false">IF(A65="","",IF(AH65&lt;&gt;"Confirmado","No",IF(AG65="CO/SO₂ simultáneos",IF(OR(COUNTIFS($E$2:$E$201,E65,$AH$2:$AH$201,"Confirmado",$AG$2:$AG$201,"CO/SO₂ simultáneos")=3,SUMIFS($J$2:$J$201,$E$2:$E$201,E65,$AH$2:$AH$201,"Confirmado",$AG$2:$AG$201,"CO/SO₂ simultáneos")=6),"Sí","No"),IF(OR(AND(F65&gt;0,SUMIFS($F$2:$F$201,$E$2:$E$201,E65,$AH$2:$AH$201,"Confirmado")=4),AND(G65&gt;0,SUMIFS($G$2:$G$201,$E$2:$E$201,E65,$AH$2:$AH$201,"Confirmado")=4),AND(H65&gt;0,SUMIFS($H$2:$H$201,$E$2:$E$201,E65,$AH$2:$AH$201,"Confirmado")=4),AND(I65&gt;0,SUMIFS($I$2:$I$201,$E$2:$E$201,E65,$AH$2:$AH$201,"Confirmado")=4)),"Sí","No"))))</f>
        <v/>
      </c>
      <c r="AM65" s="2" t="str">
        <f aca="false">IF(A65="","",IF(AH65&lt;&gt;"Confirmado","",IF(AG65="CO/SO₂ simultáneos",IF(OR(COUNTIFS($E$2:$E$201,E65,$AH$2:$AH$201,"Confirmado",$AG$2:$AG$201,"CO/SO₂ simultáneos")&gt;3,SUMIFS($J$2:$J$201,$E$2:$E$201,E65,$AH$2:$AH$201,"Confirmado",$AG$2:$AG$201,"CO/SO₂ simultáneos")&gt;6),"CAPACIDAD EXCEDIDA","OK"),IF(OR(SUMIFS($F$2:$F$201,$E$2:$E$201,E65,$AH$2:$AH$201,"Confirmado")&gt;4,SUMIFS($G$2:$G$201,$E$2:$E$201,E65,$AH$2:$AH$201,"Confirmado")&gt;4,SUMIFS($H$2:$H$201,$E$2:$E$201,E65,$AH$2:$AH$201,"Confirmado")&gt;4,SUMIFS($I$2:$I$201,$E$2:$E$201,E65,$AH$2:$AH$201,"Confirmado")&gt;4),"CAPACIDAD EXCEDIDA","OK"))))</f>
        <v/>
      </c>
      <c r="AN65" s="2" t="str">
        <f aca="true">IF(A65="","",IF(AND(AC65&lt;1,Q65&lt;TODAY(),AH65="Aceptado pendiente de pago/orden"),"PLAZO VENCIDO",IF(AND(AC65&lt;1,AD65&lt;&gt;"",AD65&lt;TODAY()),"VENCIDO","OK")))</f>
        <v/>
      </c>
      <c r="AO65" s="6"/>
      <c r="AP65" s="8"/>
      <c r="AQ65" s="6"/>
      <c r="AR65" s="6" t="s">
        <v>73</v>
      </c>
      <c r="AS65" s="6"/>
      <c r="AT65" s="6"/>
      <c r="AU65" s="6"/>
      <c r="AV65" s="6"/>
      <c r="AW65" s="8" t="str">
        <f aca="false">IF(AV65="","",AV65+60)</f>
        <v/>
      </c>
      <c r="AX65" s="11" t="str">
        <f aca="true">IF(A65="","",IF(AND(AV65&lt;&gt;"",AW65&lt;TODAY(),OR(AH65="Interés",AH65="Cotizado")),"Sí","No"))</f>
        <v/>
      </c>
      <c r="AY65" s="6"/>
      <c r="AZ65" s="6"/>
      <c r="BA65" s="6"/>
      <c r="BB65" s="6"/>
      <c r="BC65" s="4"/>
      <c r="BD65" s="12"/>
    </row>
    <row r="66" customFormat="false" ht="23.8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2" t="n">
        <f aca="false">SUM(F66:I66)</f>
        <v>0</v>
      </c>
      <c r="K66" s="6"/>
      <c r="L66" s="6"/>
      <c r="M66" s="7"/>
      <c r="N66" s="7"/>
      <c r="O66" s="8"/>
      <c r="P66" s="8"/>
      <c r="Q66" s="8"/>
      <c r="R66" s="8"/>
      <c r="S66" s="8"/>
      <c r="T66" s="6"/>
      <c r="U66" s="6"/>
      <c r="V66" s="6"/>
      <c r="W66" s="6"/>
      <c r="X66" s="8"/>
      <c r="Y66" s="6"/>
      <c r="Z66" s="6"/>
      <c r="AA66" s="7"/>
      <c r="AB66" s="9" t="str">
        <f aca="false">IF(N66="","",MAX(0,N66-AA66))</f>
        <v/>
      </c>
      <c r="AC66" s="10" t="str">
        <f aca="false">IF(N66="","",IF(N66=0,0,AA66/N66))</f>
        <v/>
      </c>
      <c r="AD66" s="8"/>
      <c r="AE66" s="6"/>
      <c r="AF66" s="6"/>
      <c r="AG66" s="6"/>
      <c r="AH66" s="6"/>
      <c r="AI66" s="2" t="str">
        <f aca="false">IF(A66="","",IF(V66="Yes",IF(U66="Yes",1,2),""))</f>
        <v/>
      </c>
      <c r="AJ66" s="8"/>
      <c r="AK66" s="2" t="str">
        <f aca="false">IF(A66="","",IF(AJ66="","",COUNTIFS($E$2:$E$201,E66,$AI$2:$AI$201,AI66,$AJ$2:$AJ$201,"&lt;="&amp;AJ66)))</f>
        <v/>
      </c>
      <c r="AL66" s="2" t="str">
        <f aca="false">IF(A66="","",IF(AH66&lt;&gt;"Confirmado","No",IF(AG66="CO/SO₂ simultáneos",IF(OR(COUNTIFS($E$2:$E$201,E66,$AH$2:$AH$201,"Confirmado",$AG$2:$AG$201,"CO/SO₂ simultáneos")=3,SUMIFS($J$2:$J$201,$E$2:$E$201,E66,$AH$2:$AH$201,"Confirmado",$AG$2:$AG$201,"CO/SO₂ simultáneos")=6),"Sí","No"),IF(OR(AND(F66&gt;0,SUMIFS($F$2:$F$201,$E$2:$E$201,E66,$AH$2:$AH$201,"Confirmado")=4),AND(G66&gt;0,SUMIFS($G$2:$G$201,$E$2:$E$201,E66,$AH$2:$AH$201,"Confirmado")=4),AND(H66&gt;0,SUMIFS($H$2:$H$201,$E$2:$E$201,E66,$AH$2:$AH$201,"Confirmado")=4),AND(I66&gt;0,SUMIFS($I$2:$I$201,$E$2:$E$201,E66,$AH$2:$AH$201,"Confirmado")=4)),"Sí","No"))))</f>
        <v/>
      </c>
      <c r="AM66" s="2" t="str">
        <f aca="false">IF(A66="","",IF(AH66&lt;&gt;"Confirmado","",IF(AG66="CO/SO₂ simultáneos",IF(OR(COUNTIFS($E$2:$E$201,E66,$AH$2:$AH$201,"Confirmado",$AG$2:$AG$201,"CO/SO₂ simultáneos")&gt;3,SUMIFS($J$2:$J$201,$E$2:$E$201,E66,$AH$2:$AH$201,"Confirmado",$AG$2:$AG$201,"CO/SO₂ simultáneos")&gt;6),"CAPACIDAD EXCEDIDA","OK"),IF(OR(SUMIFS($F$2:$F$201,$E$2:$E$201,E66,$AH$2:$AH$201,"Confirmado")&gt;4,SUMIFS($G$2:$G$201,$E$2:$E$201,E66,$AH$2:$AH$201,"Confirmado")&gt;4,SUMIFS($H$2:$H$201,$E$2:$E$201,E66,$AH$2:$AH$201,"Confirmado")&gt;4,SUMIFS($I$2:$I$201,$E$2:$E$201,E66,$AH$2:$AH$201,"Confirmado")&gt;4),"CAPACIDAD EXCEDIDA","OK"))))</f>
        <v/>
      </c>
      <c r="AN66" s="2" t="str">
        <f aca="true">IF(A66="","",IF(AND(AC66&lt;1,Q66&lt;TODAY(),AH66="Aceptado pendiente de pago/orden"),"PLAZO VENCIDO",IF(AND(AC66&lt;1,AD66&lt;&gt;"",AD66&lt;TODAY()),"VENCIDO","OK")))</f>
        <v/>
      </c>
      <c r="AO66" s="6"/>
      <c r="AP66" s="8"/>
      <c r="AQ66" s="6"/>
      <c r="AR66" s="6" t="s">
        <v>73</v>
      </c>
      <c r="AS66" s="6"/>
      <c r="AT66" s="6"/>
      <c r="AU66" s="6"/>
      <c r="AV66" s="6"/>
      <c r="AW66" s="8" t="str">
        <f aca="false">IF(AV66="","",AV66+60)</f>
        <v/>
      </c>
      <c r="AX66" s="11" t="str">
        <f aca="true">IF(A66="","",IF(AND(AV66&lt;&gt;"",AW66&lt;TODAY(),OR(AH66="Interés",AH66="Cotizado")),"Sí","No"))</f>
        <v/>
      </c>
      <c r="AY66" s="6"/>
      <c r="AZ66" s="6"/>
      <c r="BA66" s="6"/>
      <c r="BB66" s="6"/>
      <c r="BC66" s="4"/>
      <c r="BD66" s="12"/>
    </row>
    <row r="67" customFormat="false" ht="23.8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2" t="n">
        <f aca="false">SUM(F67:I67)</f>
        <v>0</v>
      </c>
      <c r="K67" s="6"/>
      <c r="L67" s="6"/>
      <c r="M67" s="7"/>
      <c r="N67" s="7"/>
      <c r="O67" s="8"/>
      <c r="P67" s="8"/>
      <c r="Q67" s="8"/>
      <c r="R67" s="8"/>
      <c r="S67" s="8"/>
      <c r="T67" s="6"/>
      <c r="U67" s="6"/>
      <c r="V67" s="6"/>
      <c r="W67" s="6"/>
      <c r="X67" s="8"/>
      <c r="Y67" s="6"/>
      <c r="Z67" s="6"/>
      <c r="AA67" s="7"/>
      <c r="AB67" s="9" t="str">
        <f aca="false">IF(N67="","",MAX(0,N67-AA67))</f>
        <v/>
      </c>
      <c r="AC67" s="10" t="str">
        <f aca="false">IF(N67="","",IF(N67=0,0,AA67/N67))</f>
        <v/>
      </c>
      <c r="AD67" s="8"/>
      <c r="AE67" s="6"/>
      <c r="AF67" s="6"/>
      <c r="AG67" s="6"/>
      <c r="AH67" s="6"/>
      <c r="AI67" s="2" t="str">
        <f aca="false">IF(A67="","",IF(V67="Yes",IF(U67="Yes",1,2),""))</f>
        <v/>
      </c>
      <c r="AJ67" s="8"/>
      <c r="AK67" s="2" t="str">
        <f aca="false">IF(A67="","",IF(AJ67="","",COUNTIFS($E$2:$E$201,E67,$AI$2:$AI$201,AI67,$AJ$2:$AJ$201,"&lt;="&amp;AJ67)))</f>
        <v/>
      </c>
      <c r="AL67" s="2" t="str">
        <f aca="false">IF(A67="","",IF(AH67&lt;&gt;"Confirmado","No",IF(AG67="CO/SO₂ simultáneos",IF(OR(COUNTIFS($E$2:$E$201,E67,$AH$2:$AH$201,"Confirmado",$AG$2:$AG$201,"CO/SO₂ simultáneos")=3,SUMIFS($J$2:$J$201,$E$2:$E$201,E67,$AH$2:$AH$201,"Confirmado",$AG$2:$AG$201,"CO/SO₂ simultáneos")=6),"Sí","No"),IF(OR(AND(F67&gt;0,SUMIFS($F$2:$F$201,$E$2:$E$201,E67,$AH$2:$AH$201,"Confirmado")=4),AND(G67&gt;0,SUMIFS($G$2:$G$201,$E$2:$E$201,E67,$AH$2:$AH$201,"Confirmado")=4),AND(H67&gt;0,SUMIFS($H$2:$H$201,$E$2:$E$201,E67,$AH$2:$AH$201,"Confirmado")=4),AND(I67&gt;0,SUMIFS($I$2:$I$201,$E$2:$E$201,E67,$AH$2:$AH$201,"Confirmado")=4)),"Sí","No"))))</f>
        <v/>
      </c>
      <c r="AM67" s="2" t="str">
        <f aca="false">IF(A67="","",IF(AH67&lt;&gt;"Confirmado","",IF(AG67="CO/SO₂ simultáneos",IF(OR(COUNTIFS($E$2:$E$201,E67,$AH$2:$AH$201,"Confirmado",$AG$2:$AG$201,"CO/SO₂ simultáneos")&gt;3,SUMIFS($J$2:$J$201,$E$2:$E$201,E67,$AH$2:$AH$201,"Confirmado",$AG$2:$AG$201,"CO/SO₂ simultáneos")&gt;6),"CAPACIDAD EXCEDIDA","OK"),IF(OR(SUMIFS($F$2:$F$201,$E$2:$E$201,E67,$AH$2:$AH$201,"Confirmado")&gt;4,SUMIFS($G$2:$G$201,$E$2:$E$201,E67,$AH$2:$AH$201,"Confirmado")&gt;4,SUMIFS($H$2:$H$201,$E$2:$E$201,E67,$AH$2:$AH$201,"Confirmado")&gt;4,SUMIFS($I$2:$I$201,$E$2:$E$201,E67,$AH$2:$AH$201,"Confirmado")&gt;4),"CAPACIDAD EXCEDIDA","OK"))))</f>
        <v/>
      </c>
      <c r="AN67" s="2" t="str">
        <f aca="true">IF(A67="","",IF(AND(AC67&lt;1,Q67&lt;TODAY(),AH67="Aceptado pendiente de pago/orden"),"PLAZO VENCIDO",IF(AND(AC67&lt;1,AD67&lt;&gt;"",AD67&lt;TODAY()),"VENCIDO","OK")))</f>
        <v/>
      </c>
      <c r="AO67" s="6"/>
      <c r="AP67" s="8"/>
      <c r="AQ67" s="6"/>
      <c r="AR67" s="6" t="s">
        <v>73</v>
      </c>
      <c r="AS67" s="6"/>
      <c r="AT67" s="6"/>
      <c r="AU67" s="6"/>
      <c r="AV67" s="6"/>
      <c r="AW67" s="8" t="str">
        <f aca="false">IF(AV67="","",AV67+60)</f>
        <v/>
      </c>
      <c r="AX67" s="11" t="str">
        <f aca="true">IF(A67="","",IF(AND(AV67&lt;&gt;"",AW67&lt;TODAY(),OR(AH67="Interés",AH67="Cotizado")),"Sí","No"))</f>
        <v/>
      </c>
      <c r="AY67" s="6"/>
      <c r="AZ67" s="6"/>
      <c r="BA67" s="6"/>
      <c r="BB67" s="6"/>
      <c r="BC67" s="4"/>
      <c r="BD67" s="12"/>
    </row>
    <row r="68" customFormat="false" ht="23.8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2" t="n">
        <f aca="false">SUM(F68:I68)</f>
        <v>0</v>
      </c>
      <c r="K68" s="6"/>
      <c r="L68" s="6"/>
      <c r="M68" s="7"/>
      <c r="N68" s="7"/>
      <c r="O68" s="8"/>
      <c r="P68" s="8"/>
      <c r="Q68" s="8"/>
      <c r="R68" s="8"/>
      <c r="S68" s="8"/>
      <c r="T68" s="6"/>
      <c r="U68" s="6"/>
      <c r="V68" s="6"/>
      <c r="W68" s="6"/>
      <c r="X68" s="8"/>
      <c r="Y68" s="6"/>
      <c r="Z68" s="6"/>
      <c r="AA68" s="7"/>
      <c r="AB68" s="9" t="str">
        <f aca="false">IF(N68="","",MAX(0,N68-AA68))</f>
        <v/>
      </c>
      <c r="AC68" s="10" t="str">
        <f aca="false">IF(N68="","",IF(N68=0,0,AA68/N68))</f>
        <v/>
      </c>
      <c r="AD68" s="8"/>
      <c r="AE68" s="6"/>
      <c r="AF68" s="6"/>
      <c r="AG68" s="6"/>
      <c r="AH68" s="6"/>
      <c r="AI68" s="2" t="str">
        <f aca="false">IF(A68="","",IF(V68="Yes",IF(U68="Yes",1,2),""))</f>
        <v/>
      </c>
      <c r="AJ68" s="8"/>
      <c r="AK68" s="2" t="str">
        <f aca="false">IF(A68="","",IF(AJ68="","",COUNTIFS($E$2:$E$201,E68,$AI$2:$AI$201,AI68,$AJ$2:$AJ$201,"&lt;="&amp;AJ68)))</f>
        <v/>
      </c>
      <c r="AL68" s="2" t="str">
        <f aca="false">IF(A68="","",IF(AH68&lt;&gt;"Confirmado","No",IF(AG68="CO/SO₂ simultáneos",IF(OR(COUNTIFS($E$2:$E$201,E68,$AH$2:$AH$201,"Confirmado",$AG$2:$AG$201,"CO/SO₂ simultáneos")=3,SUMIFS($J$2:$J$201,$E$2:$E$201,E68,$AH$2:$AH$201,"Confirmado",$AG$2:$AG$201,"CO/SO₂ simultáneos")=6),"Sí","No"),IF(OR(AND(F68&gt;0,SUMIFS($F$2:$F$201,$E$2:$E$201,E68,$AH$2:$AH$201,"Confirmado")=4),AND(G68&gt;0,SUMIFS($G$2:$G$201,$E$2:$E$201,E68,$AH$2:$AH$201,"Confirmado")=4),AND(H68&gt;0,SUMIFS($H$2:$H$201,$E$2:$E$201,E68,$AH$2:$AH$201,"Confirmado")=4),AND(I68&gt;0,SUMIFS($I$2:$I$201,$E$2:$E$201,E68,$AH$2:$AH$201,"Confirmado")=4)),"Sí","No"))))</f>
        <v/>
      </c>
      <c r="AM68" s="2" t="str">
        <f aca="false">IF(A68="","",IF(AH68&lt;&gt;"Confirmado","",IF(AG68="CO/SO₂ simultáneos",IF(OR(COUNTIFS($E$2:$E$201,E68,$AH$2:$AH$201,"Confirmado",$AG$2:$AG$201,"CO/SO₂ simultáneos")&gt;3,SUMIFS($J$2:$J$201,$E$2:$E$201,E68,$AH$2:$AH$201,"Confirmado",$AG$2:$AG$201,"CO/SO₂ simultáneos")&gt;6),"CAPACIDAD EXCEDIDA","OK"),IF(OR(SUMIFS($F$2:$F$201,$E$2:$E$201,E68,$AH$2:$AH$201,"Confirmado")&gt;4,SUMIFS($G$2:$G$201,$E$2:$E$201,E68,$AH$2:$AH$201,"Confirmado")&gt;4,SUMIFS($H$2:$H$201,$E$2:$E$201,E68,$AH$2:$AH$201,"Confirmado")&gt;4,SUMIFS($I$2:$I$201,$E$2:$E$201,E68,$AH$2:$AH$201,"Confirmado")&gt;4),"CAPACIDAD EXCEDIDA","OK"))))</f>
        <v/>
      </c>
      <c r="AN68" s="2" t="str">
        <f aca="true">IF(A68="","",IF(AND(AC68&lt;1,Q68&lt;TODAY(),AH68="Aceptado pendiente de pago/orden"),"PLAZO VENCIDO",IF(AND(AC68&lt;1,AD68&lt;&gt;"",AD68&lt;TODAY()),"VENCIDO","OK")))</f>
        <v/>
      </c>
      <c r="AO68" s="6"/>
      <c r="AP68" s="8"/>
      <c r="AQ68" s="6"/>
      <c r="AR68" s="6" t="s">
        <v>73</v>
      </c>
      <c r="AS68" s="6"/>
      <c r="AT68" s="6"/>
      <c r="AU68" s="6"/>
      <c r="AV68" s="6"/>
      <c r="AW68" s="8" t="str">
        <f aca="false">IF(AV68="","",AV68+60)</f>
        <v/>
      </c>
      <c r="AX68" s="11" t="str">
        <f aca="true">IF(A68="","",IF(AND(AV68&lt;&gt;"",AW68&lt;TODAY(),OR(AH68="Interés",AH68="Cotizado")),"Sí","No"))</f>
        <v/>
      </c>
      <c r="AY68" s="6"/>
      <c r="AZ68" s="6"/>
      <c r="BA68" s="6"/>
      <c r="BB68" s="6"/>
      <c r="BC68" s="4"/>
      <c r="BD68" s="12"/>
    </row>
    <row r="69" customFormat="false" ht="23.8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2" t="n">
        <f aca="false">SUM(F69:I69)</f>
        <v>0</v>
      </c>
      <c r="K69" s="6"/>
      <c r="L69" s="6"/>
      <c r="M69" s="7"/>
      <c r="N69" s="7"/>
      <c r="O69" s="8"/>
      <c r="P69" s="8"/>
      <c r="Q69" s="8"/>
      <c r="R69" s="8"/>
      <c r="S69" s="8"/>
      <c r="T69" s="6"/>
      <c r="U69" s="6"/>
      <c r="V69" s="6"/>
      <c r="W69" s="6"/>
      <c r="X69" s="8"/>
      <c r="Y69" s="6"/>
      <c r="Z69" s="6"/>
      <c r="AA69" s="7"/>
      <c r="AB69" s="9" t="str">
        <f aca="false">IF(N69="","",MAX(0,N69-AA69))</f>
        <v/>
      </c>
      <c r="AC69" s="10" t="str">
        <f aca="false">IF(N69="","",IF(N69=0,0,AA69/N69))</f>
        <v/>
      </c>
      <c r="AD69" s="8"/>
      <c r="AE69" s="6"/>
      <c r="AF69" s="6"/>
      <c r="AG69" s="6"/>
      <c r="AH69" s="6"/>
      <c r="AI69" s="2" t="str">
        <f aca="false">IF(A69="","",IF(V69="Yes",IF(U69="Yes",1,2),""))</f>
        <v/>
      </c>
      <c r="AJ69" s="8"/>
      <c r="AK69" s="2" t="str">
        <f aca="false">IF(A69="","",IF(AJ69="","",COUNTIFS($E$2:$E$201,E69,$AI$2:$AI$201,AI69,$AJ$2:$AJ$201,"&lt;="&amp;AJ69)))</f>
        <v/>
      </c>
      <c r="AL69" s="2" t="str">
        <f aca="false">IF(A69="","",IF(AH69&lt;&gt;"Confirmado","No",IF(AG69="CO/SO₂ simultáneos",IF(OR(COUNTIFS($E$2:$E$201,E69,$AH$2:$AH$201,"Confirmado",$AG$2:$AG$201,"CO/SO₂ simultáneos")=3,SUMIFS($J$2:$J$201,$E$2:$E$201,E69,$AH$2:$AH$201,"Confirmado",$AG$2:$AG$201,"CO/SO₂ simultáneos")=6),"Sí","No"),IF(OR(AND(F69&gt;0,SUMIFS($F$2:$F$201,$E$2:$E$201,E69,$AH$2:$AH$201,"Confirmado")=4),AND(G69&gt;0,SUMIFS($G$2:$G$201,$E$2:$E$201,E69,$AH$2:$AH$201,"Confirmado")=4),AND(H69&gt;0,SUMIFS($H$2:$H$201,$E$2:$E$201,E69,$AH$2:$AH$201,"Confirmado")=4),AND(I69&gt;0,SUMIFS($I$2:$I$201,$E$2:$E$201,E69,$AH$2:$AH$201,"Confirmado")=4)),"Sí","No"))))</f>
        <v/>
      </c>
      <c r="AM69" s="2" t="str">
        <f aca="false">IF(A69="","",IF(AH69&lt;&gt;"Confirmado","",IF(AG69="CO/SO₂ simultáneos",IF(OR(COUNTIFS($E$2:$E$201,E69,$AH$2:$AH$201,"Confirmado",$AG$2:$AG$201,"CO/SO₂ simultáneos")&gt;3,SUMIFS($J$2:$J$201,$E$2:$E$201,E69,$AH$2:$AH$201,"Confirmado",$AG$2:$AG$201,"CO/SO₂ simultáneos")&gt;6),"CAPACIDAD EXCEDIDA","OK"),IF(OR(SUMIFS($F$2:$F$201,$E$2:$E$201,E69,$AH$2:$AH$201,"Confirmado")&gt;4,SUMIFS($G$2:$G$201,$E$2:$E$201,E69,$AH$2:$AH$201,"Confirmado")&gt;4,SUMIFS($H$2:$H$201,$E$2:$E$201,E69,$AH$2:$AH$201,"Confirmado")&gt;4,SUMIFS($I$2:$I$201,$E$2:$E$201,E69,$AH$2:$AH$201,"Confirmado")&gt;4),"CAPACIDAD EXCEDIDA","OK"))))</f>
        <v/>
      </c>
      <c r="AN69" s="2" t="str">
        <f aca="true">IF(A69="","",IF(AND(AC69&lt;1,Q69&lt;TODAY(),AH69="Aceptado pendiente de pago/orden"),"PLAZO VENCIDO",IF(AND(AC69&lt;1,AD69&lt;&gt;"",AD69&lt;TODAY()),"VENCIDO","OK")))</f>
        <v/>
      </c>
      <c r="AO69" s="6"/>
      <c r="AP69" s="8"/>
      <c r="AQ69" s="6"/>
      <c r="AR69" s="6" t="s">
        <v>73</v>
      </c>
      <c r="AS69" s="6"/>
      <c r="AT69" s="6"/>
      <c r="AU69" s="6"/>
      <c r="AV69" s="6"/>
      <c r="AW69" s="8" t="str">
        <f aca="false">IF(AV69="","",AV69+60)</f>
        <v/>
      </c>
      <c r="AX69" s="11" t="str">
        <f aca="true">IF(A69="","",IF(AND(AV69&lt;&gt;"",AW69&lt;TODAY(),OR(AH69="Interés",AH69="Cotizado")),"Sí","No"))</f>
        <v/>
      </c>
      <c r="AY69" s="6"/>
      <c r="AZ69" s="6"/>
      <c r="BA69" s="6"/>
      <c r="BB69" s="6"/>
      <c r="BC69" s="4"/>
      <c r="BD69" s="12"/>
    </row>
    <row r="70" customFormat="false" ht="23.8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2" t="n">
        <f aca="false">SUM(F70:I70)</f>
        <v>0</v>
      </c>
      <c r="K70" s="6"/>
      <c r="L70" s="6"/>
      <c r="M70" s="7"/>
      <c r="N70" s="7"/>
      <c r="O70" s="8"/>
      <c r="P70" s="8"/>
      <c r="Q70" s="8"/>
      <c r="R70" s="8"/>
      <c r="S70" s="8"/>
      <c r="T70" s="6"/>
      <c r="U70" s="6"/>
      <c r="V70" s="6"/>
      <c r="W70" s="6"/>
      <c r="X70" s="8"/>
      <c r="Y70" s="6"/>
      <c r="Z70" s="6"/>
      <c r="AA70" s="7"/>
      <c r="AB70" s="9" t="str">
        <f aca="false">IF(N70="","",MAX(0,N70-AA70))</f>
        <v/>
      </c>
      <c r="AC70" s="10" t="str">
        <f aca="false">IF(N70="","",IF(N70=0,0,AA70/N70))</f>
        <v/>
      </c>
      <c r="AD70" s="8"/>
      <c r="AE70" s="6"/>
      <c r="AF70" s="6"/>
      <c r="AG70" s="6"/>
      <c r="AH70" s="6"/>
      <c r="AI70" s="2" t="str">
        <f aca="false">IF(A70="","",IF(V70="Yes",IF(U70="Yes",1,2),""))</f>
        <v/>
      </c>
      <c r="AJ70" s="8"/>
      <c r="AK70" s="2" t="str">
        <f aca="false">IF(A70="","",IF(AJ70="","",COUNTIFS($E$2:$E$201,E70,$AI$2:$AI$201,AI70,$AJ$2:$AJ$201,"&lt;="&amp;AJ70)))</f>
        <v/>
      </c>
      <c r="AL70" s="2" t="str">
        <f aca="false">IF(A70="","",IF(AH70&lt;&gt;"Confirmado","No",IF(AG70="CO/SO₂ simultáneos",IF(OR(COUNTIFS($E$2:$E$201,E70,$AH$2:$AH$201,"Confirmado",$AG$2:$AG$201,"CO/SO₂ simultáneos")=3,SUMIFS($J$2:$J$201,$E$2:$E$201,E70,$AH$2:$AH$201,"Confirmado",$AG$2:$AG$201,"CO/SO₂ simultáneos")=6),"Sí","No"),IF(OR(AND(F70&gt;0,SUMIFS($F$2:$F$201,$E$2:$E$201,E70,$AH$2:$AH$201,"Confirmado")=4),AND(G70&gt;0,SUMIFS($G$2:$G$201,$E$2:$E$201,E70,$AH$2:$AH$201,"Confirmado")=4),AND(H70&gt;0,SUMIFS($H$2:$H$201,$E$2:$E$201,E70,$AH$2:$AH$201,"Confirmado")=4),AND(I70&gt;0,SUMIFS($I$2:$I$201,$E$2:$E$201,E70,$AH$2:$AH$201,"Confirmado")=4)),"Sí","No"))))</f>
        <v/>
      </c>
      <c r="AM70" s="2" t="str">
        <f aca="false">IF(A70="","",IF(AH70&lt;&gt;"Confirmado","",IF(AG70="CO/SO₂ simultáneos",IF(OR(COUNTIFS($E$2:$E$201,E70,$AH$2:$AH$201,"Confirmado",$AG$2:$AG$201,"CO/SO₂ simultáneos")&gt;3,SUMIFS($J$2:$J$201,$E$2:$E$201,E70,$AH$2:$AH$201,"Confirmado",$AG$2:$AG$201,"CO/SO₂ simultáneos")&gt;6),"CAPACIDAD EXCEDIDA","OK"),IF(OR(SUMIFS($F$2:$F$201,$E$2:$E$201,E70,$AH$2:$AH$201,"Confirmado")&gt;4,SUMIFS($G$2:$G$201,$E$2:$E$201,E70,$AH$2:$AH$201,"Confirmado")&gt;4,SUMIFS($H$2:$H$201,$E$2:$E$201,E70,$AH$2:$AH$201,"Confirmado")&gt;4,SUMIFS($I$2:$I$201,$E$2:$E$201,E70,$AH$2:$AH$201,"Confirmado")&gt;4),"CAPACIDAD EXCEDIDA","OK"))))</f>
        <v/>
      </c>
      <c r="AN70" s="2" t="str">
        <f aca="true">IF(A70="","",IF(AND(AC70&lt;1,Q70&lt;TODAY(),AH70="Aceptado pendiente de pago/orden"),"PLAZO VENCIDO",IF(AND(AC70&lt;1,AD70&lt;&gt;"",AD70&lt;TODAY()),"VENCIDO","OK")))</f>
        <v/>
      </c>
      <c r="AO70" s="6"/>
      <c r="AP70" s="8"/>
      <c r="AQ70" s="6"/>
      <c r="AR70" s="6" t="s">
        <v>73</v>
      </c>
      <c r="AS70" s="6"/>
      <c r="AT70" s="6"/>
      <c r="AU70" s="6"/>
      <c r="AV70" s="6"/>
      <c r="AW70" s="8" t="str">
        <f aca="false">IF(AV70="","",AV70+60)</f>
        <v/>
      </c>
      <c r="AX70" s="11" t="str">
        <f aca="true">IF(A70="","",IF(AND(AV70&lt;&gt;"",AW70&lt;TODAY(),OR(AH70="Interés",AH70="Cotizado")),"Sí","No"))</f>
        <v/>
      </c>
      <c r="AY70" s="6"/>
      <c r="AZ70" s="6"/>
      <c r="BA70" s="6"/>
      <c r="BB70" s="6"/>
      <c r="BC70" s="4"/>
      <c r="BD70" s="12"/>
    </row>
    <row r="71" customFormat="false" ht="23.8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2" t="n">
        <f aca="false">SUM(F71:I71)</f>
        <v>0</v>
      </c>
      <c r="K71" s="6"/>
      <c r="L71" s="6"/>
      <c r="M71" s="7"/>
      <c r="N71" s="7"/>
      <c r="O71" s="8"/>
      <c r="P71" s="8"/>
      <c r="Q71" s="8"/>
      <c r="R71" s="8"/>
      <c r="S71" s="8"/>
      <c r="T71" s="6"/>
      <c r="U71" s="6"/>
      <c r="V71" s="6"/>
      <c r="W71" s="6"/>
      <c r="X71" s="8"/>
      <c r="Y71" s="6"/>
      <c r="Z71" s="6"/>
      <c r="AA71" s="7"/>
      <c r="AB71" s="9" t="str">
        <f aca="false">IF(N71="","",MAX(0,N71-AA71))</f>
        <v/>
      </c>
      <c r="AC71" s="10" t="str">
        <f aca="false">IF(N71="","",IF(N71=0,0,AA71/N71))</f>
        <v/>
      </c>
      <c r="AD71" s="8"/>
      <c r="AE71" s="6"/>
      <c r="AF71" s="6"/>
      <c r="AG71" s="6"/>
      <c r="AH71" s="6"/>
      <c r="AI71" s="2" t="str">
        <f aca="false">IF(A71="","",IF(V71="Yes",IF(U71="Yes",1,2),""))</f>
        <v/>
      </c>
      <c r="AJ71" s="8"/>
      <c r="AK71" s="2" t="str">
        <f aca="false">IF(A71="","",IF(AJ71="","",COUNTIFS($E$2:$E$201,E71,$AI$2:$AI$201,AI71,$AJ$2:$AJ$201,"&lt;="&amp;AJ71)))</f>
        <v/>
      </c>
      <c r="AL71" s="2" t="str">
        <f aca="false">IF(A71="","",IF(AH71&lt;&gt;"Confirmado","No",IF(AG71="CO/SO₂ simultáneos",IF(OR(COUNTIFS($E$2:$E$201,E71,$AH$2:$AH$201,"Confirmado",$AG$2:$AG$201,"CO/SO₂ simultáneos")=3,SUMIFS($J$2:$J$201,$E$2:$E$201,E71,$AH$2:$AH$201,"Confirmado",$AG$2:$AG$201,"CO/SO₂ simultáneos")=6),"Sí","No"),IF(OR(AND(F71&gt;0,SUMIFS($F$2:$F$201,$E$2:$E$201,E71,$AH$2:$AH$201,"Confirmado")=4),AND(G71&gt;0,SUMIFS($G$2:$G$201,$E$2:$E$201,E71,$AH$2:$AH$201,"Confirmado")=4),AND(H71&gt;0,SUMIFS($H$2:$H$201,$E$2:$E$201,E71,$AH$2:$AH$201,"Confirmado")=4),AND(I71&gt;0,SUMIFS($I$2:$I$201,$E$2:$E$201,E71,$AH$2:$AH$201,"Confirmado")=4)),"Sí","No"))))</f>
        <v/>
      </c>
      <c r="AM71" s="2" t="str">
        <f aca="false">IF(A71="","",IF(AH71&lt;&gt;"Confirmado","",IF(AG71="CO/SO₂ simultáneos",IF(OR(COUNTIFS($E$2:$E$201,E71,$AH$2:$AH$201,"Confirmado",$AG$2:$AG$201,"CO/SO₂ simultáneos")&gt;3,SUMIFS($J$2:$J$201,$E$2:$E$201,E71,$AH$2:$AH$201,"Confirmado",$AG$2:$AG$201,"CO/SO₂ simultáneos")&gt;6),"CAPACIDAD EXCEDIDA","OK"),IF(OR(SUMIFS($F$2:$F$201,$E$2:$E$201,E71,$AH$2:$AH$201,"Confirmado")&gt;4,SUMIFS($G$2:$G$201,$E$2:$E$201,E71,$AH$2:$AH$201,"Confirmado")&gt;4,SUMIFS($H$2:$H$201,$E$2:$E$201,E71,$AH$2:$AH$201,"Confirmado")&gt;4,SUMIFS($I$2:$I$201,$E$2:$E$201,E71,$AH$2:$AH$201,"Confirmado")&gt;4),"CAPACIDAD EXCEDIDA","OK"))))</f>
        <v/>
      </c>
      <c r="AN71" s="2" t="str">
        <f aca="true">IF(A71="","",IF(AND(AC71&lt;1,Q71&lt;TODAY(),AH71="Aceptado pendiente de pago/orden"),"PLAZO VENCIDO",IF(AND(AC71&lt;1,AD71&lt;&gt;"",AD71&lt;TODAY()),"VENCIDO","OK")))</f>
        <v/>
      </c>
      <c r="AO71" s="6"/>
      <c r="AP71" s="8"/>
      <c r="AQ71" s="6"/>
      <c r="AR71" s="6" t="s">
        <v>73</v>
      </c>
      <c r="AS71" s="6"/>
      <c r="AT71" s="6"/>
      <c r="AU71" s="6"/>
      <c r="AV71" s="6"/>
      <c r="AW71" s="8" t="str">
        <f aca="false">IF(AV71="","",AV71+60)</f>
        <v/>
      </c>
      <c r="AX71" s="11" t="str">
        <f aca="true">IF(A71="","",IF(AND(AV71&lt;&gt;"",AW71&lt;TODAY(),OR(AH71="Interés",AH71="Cotizado")),"Sí","No"))</f>
        <v/>
      </c>
      <c r="AY71" s="6"/>
      <c r="AZ71" s="6"/>
      <c r="BA71" s="6"/>
      <c r="BB71" s="6"/>
      <c r="BC71" s="4"/>
      <c r="BD71" s="12"/>
    </row>
    <row r="72" customFormat="false" ht="23.8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2" t="n">
        <f aca="false">SUM(F72:I72)</f>
        <v>0</v>
      </c>
      <c r="K72" s="6"/>
      <c r="L72" s="6"/>
      <c r="M72" s="7"/>
      <c r="N72" s="7"/>
      <c r="O72" s="8"/>
      <c r="P72" s="8"/>
      <c r="Q72" s="8"/>
      <c r="R72" s="8"/>
      <c r="S72" s="8"/>
      <c r="T72" s="6"/>
      <c r="U72" s="6"/>
      <c r="V72" s="6"/>
      <c r="W72" s="6"/>
      <c r="X72" s="8"/>
      <c r="Y72" s="6"/>
      <c r="Z72" s="6"/>
      <c r="AA72" s="7"/>
      <c r="AB72" s="9" t="str">
        <f aca="false">IF(N72="","",MAX(0,N72-AA72))</f>
        <v/>
      </c>
      <c r="AC72" s="10" t="str">
        <f aca="false">IF(N72="","",IF(N72=0,0,AA72/N72))</f>
        <v/>
      </c>
      <c r="AD72" s="8"/>
      <c r="AE72" s="6"/>
      <c r="AF72" s="6"/>
      <c r="AG72" s="6"/>
      <c r="AH72" s="6"/>
      <c r="AI72" s="2" t="str">
        <f aca="false">IF(A72="","",IF(V72="Yes",IF(U72="Yes",1,2),""))</f>
        <v/>
      </c>
      <c r="AJ72" s="8"/>
      <c r="AK72" s="2" t="str">
        <f aca="false">IF(A72="","",IF(AJ72="","",COUNTIFS($E$2:$E$201,E72,$AI$2:$AI$201,AI72,$AJ$2:$AJ$201,"&lt;="&amp;AJ72)))</f>
        <v/>
      </c>
      <c r="AL72" s="2" t="str">
        <f aca="false">IF(A72="","",IF(AH72&lt;&gt;"Confirmado","No",IF(AG72="CO/SO₂ simultáneos",IF(OR(COUNTIFS($E$2:$E$201,E72,$AH$2:$AH$201,"Confirmado",$AG$2:$AG$201,"CO/SO₂ simultáneos")=3,SUMIFS($J$2:$J$201,$E$2:$E$201,E72,$AH$2:$AH$201,"Confirmado",$AG$2:$AG$201,"CO/SO₂ simultáneos")=6),"Sí","No"),IF(OR(AND(F72&gt;0,SUMIFS($F$2:$F$201,$E$2:$E$201,E72,$AH$2:$AH$201,"Confirmado")=4),AND(G72&gt;0,SUMIFS($G$2:$G$201,$E$2:$E$201,E72,$AH$2:$AH$201,"Confirmado")=4),AND(H72&gt;0,SUMIFS($H$2:$H$201,$E$2:$E$201,E72,$AH$2:$AH$201,"Confirmado")=4),AND(I72&gt;0,SUMIFS($I$2:$I$201,$E$2:$E$201,E72,$AH$2:$AH$201,"Confirmado")=4)),"Sí","No"))))</f>
        <v/>
      </c>
      <c r="AM72" s="2" t="str">
        <f aca="false">IF(A72="","",IF(AH72&lt;&gt;"Confirmado","",IF(AG72="CO/SO₂ simultáneos",IF(OR(COUNTIFS($E$2:$E$201,E72,$AH$2:$AH$201,"Confirmado",$AG$2:$AG$201,"CO/SO₂ simultáneos")&gt;3,SUMIFS($J$2:$J$201,$E$2:$E$201,E72,$AH$2:$AH$201,"Confirmado",$AG$2:$AG$201,"CO/SO₂ simultáneos")&gt;6),"CAPACIDAD EXCEDIDA","OK"),IF(OR(SUMIFS($F$2:$F$201,$E$2:$E$201,E72,$AH$2:$AH$201,"Confirmado")&gt;4,SUMIFS($G$2:$G$201,$E$2:$E$201,E72,$AH$2:$AH$201,"Confirmado")&gt;4,SUMIFS($H$2:$H$201,$E$2:$E$201,E72,$AH$2:$AH$201,"Confirmado")&gt;4,SUMIFS($I$2:$I$201,$E$2:$E$201,E72,$AH$2:$AH$201,"Confirmado")&gt;4),"CAPACIDAD EXCEDIDA","OK"))))</f>
        <v/>
      </c>
      <c r="AN72" s="2" t="str">
        <f aca="true">IF(A72="","",IF(AND(AC72&lt;1,Q72&lt;TODAY(),AH72="Aceptado pendiente de pago/orden"),"PLAZO VENCIDO",IF(AND(AC72&lt;1,AD72&lt;&gt;"",AD72&lt;TODAY()),"VENCIDO","OK")))</f>
        <v/>
      </c>
      <c r="AO72" s="6"/>
      <c r="AP72" s="8"/>
      <c r="AQ72" s="6"/>
      <c r="AR72" s="6" t="s">
        <v>73</v>
      </c>
      <c r="AS72" s="6"/>
      <c r="AT72" s="6"/>
      <c r="AU72" s="6"/>
      <c r="AV72" s="6"/>
      <c r="AW72" s="8" t="str">
        <f aca="false">IF(AV72="","",AV72+60)</f>
        <v/>
      </c>
      <c r="AX72" s="11" t="str">
        <f aca="true">IF(A72="","",IF(AND(AV72&lt;&gt;"",AW72&lt;TODAY(),OR(AH72="Interés",AH72="Cotizado")),"Sí","No"))</f>
        <v/>
      </c>
      <c r="AY72" s="6"/>
      <c r="AZ72" s="6"/>
      <c r="BA72" s="6"/>
      <c r="BB72" s="6"/>
      <c r="BC72" s="4"/>
      <c r="BD72" s="12"/>
    </row>
    <row r="73" customFormat="false" ht="23.8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2" t="n">
        <f aca="false">SUM(F73:I73)</f>
        <v>0</v>
      </c>
      <c r="K73" s="6"/>
      <c r="L73" s="6"/>
      <c r="M73" s="7"/>
      <c r="N73" s="7"/>
      <c r="O73" s="8"/>
      <c r="P73" s="8"/>
      <c r="Q73" s="8"/>
      <c r="R73" s="8"/>
      <c r="S73" s="8"/>
      <c r="T73" s="6"/>
      <c r="U73" s="6"/>
      <c r="V73" s="6"/>
      <c r="W73" s="6"/>
      <c r="X73" s="8"/>
      <c r="Y73" s="6"/>
      <c r="Z73" s="6"/>
      <c r="AA73" s="7"/>
      <c r="AB73" s="9" t="str">
        <f aca="false">IF(N73="","",MAX(0,N73-AA73))</f>
        <v/>
      </c>
      <c r="AC73" s="10" t="str">
        <f aca="false">IF(N73="","",IF(N73=0,0,AA73/N73))</f>
        <v/>
      </c>
      <c r="AD73" s="8"/>
      <c r="AE73" s="6"/>
      <c r="AF73" s="6"/>
      <c r="AG73" s="6"/>
      <c r="AH73" s="6"/>
      <c r="AI73" s="2" t="str">
        <f aca="false">IF(A73="","",IF(V73="Yes",IF(U73="Yes",1,2),""))</f>
        <v/>
      </c>
      <c r="AJ73" s="8"/>
      <c r="AK73" s="2" t="str">
        <f aca="false">IF(A73="","",IF(AJ73="","",COUNTIFS($E$2:$E$201,E73,$AI$2:$AI$201,AI73,$AJ$2:$AJ$201,"&lt;="&amp;AJ73)))</f>
        <v/>
      </c>
      <c r="AL73" s="2" t="str">
        <f aca="false">IF(A73="","",IF(AH73&lt;&gt;"Confirmado","No",IF(AG73="CO/SO₂ simultáneos",IF(OR(COUNTIFS($E$2:$E$201,E73,$AH$2:$AH$201,"Confirmado",$AG$2:$AG$201,"CO/SO₂ simultáneos")=3,SUMIFS($J$2:$J$201,$E$2:$E$201,E73,$AH$2:$AH$201,"Confirmado",$AG$2:$AG$201,"CO/SO₂ simultáneos")=6),"Sí","No"),IF(OR(AND(F73&gt;0,SUMIFS($F$2:$F$201,$E$2:$E$201,E73,$AH$2:$AH$201,"Confirmado")=4),AND(G73&gt;0,SUMIFS($G$2:$G$201,$E$2:$E$201,E73,$AH$2:$AH$201,"Confirmado")=4),AND(H73&gt;0,SUMIFS($H$2:$H$201,$E$2:$E$201,E73,$AH$2:$AH$201,"Confirmado")=4),AND(I73&gt;0,SUMIFS($I$2:$I$201,$E$2:$E$201,E73,$AH$2:$AH$201,"Confirmado")=4)),"Sí","No"))))</f>
        <v/>
      </c>
      <c r="AM73" s="2" t="str">
        <f aca="false">IF(A73="","",IF(AH73&lt;&gt;"Confirmado","",IF(AG73="CO/SO₂ simultáneos",IF(OR(COUNTIFS($E$2:$E$201,E73,$AH$2:$AH$201,"Confirmado",$AG$2:$AG$201,"CO/SO₂ simultáneos")&gt;3,SUMIFS($J$2:$J$201,$E$2:$E$201,E73,$AH$2:$AH$201,"Confirmado",$AG$2:$AG$201,"CO/SO₂ simultáneos")&gt;6),"CAPACIDAD EXCEDIDA","OK"),IF(OR(SUMIFS($F$2:$F$201,$E$2:$E$201,E73,$AH$2:$AH$201,"Confirmado")&gt;4,SUMIFS($G$2:$G$201,$E$2:$E$201,E73,$AH$2:$AH$201,"Confirmado")&gt;4,SUMIFS($H$2:$H$201,$E$2:$E$201,E73,$AH$2:$AH$201,"Confirmado")&gt;4,SUMIFS($I$2:$I$201,$E$2:$E$201,E73,$AH$2:$AH$201,"Confirmado")&gt;4),"CAPACIDAD EXCEDIDA","OK"))))</f>
        <v/>
      </c>
      <c r="AN73" s="2" t="str">
        <f aca="true">IF(A73="","",IF(AND(AC73&lt;1,Q73&lt;TODAY(),AH73="Aceptado pendiente de pago/orden"),"PLAZO VENCIDO",IF(AND(AC73&lt;1,AD73&lt;&gt;"",AD73&lt;TODAY()),"VENCIDO","OK")))</f>
        <v/>
      </c>
      <c r="AO73" s="6"/>
      <c r="AP73" s="8"/>
      <c r="AQ73" s="6"/>
      <c r="AR73" s="6" t="s">
        <v>73</v>
      </c>
      <c r="AS73" s="6"/>
      <c r="AT73" s="6"/>
      <c r="AU73" s="6"/>
      <c r="AV73" s="6"/>
      <c r="AW73" s="8" t="str">
        <f aca="false">IF(AV73="","",AV73+60)</f>
        <v/>
      </c>
      <c r="AX73" s="11" t="str">
        <f aca="true">IF(A73="","",IF(AND(AV73&lt;&gt;"",AW73&lt;TODAY(),OR(AH73="Interés",AH73="Cotizado")),"Sí","No"))</f>
        <v/>
      </c>
      <c r="AY73" s="6"/>
      <c r="AZ73" s="6"/>
      <c r="BA73" s="6"/>
      <c r="BB73" s="6"/>
      <c r="BC73" s="4"/>
      <c r="BD73" s="12"/>
    </row>
    <row r="74" customFormat="false" ht="23.8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2" t="n">
        <f aca="false">SUM(F74:I74)</f>
        <v>0</v>
      </c>
      <c r="K74" s="6"/>
      <c r="L74" s="6"/>
      <c r="M74" s="7"/>
      <c r="N74" s="7"/>
      <c r="O74" s="8"/>
      <c r="P74" s="8"/>
      <c r="Q74" s="8"/>
      <c r="R74" s="8"/>
      <c r="S74" s="8"/>
      <c r="T74" s="6"/>
      <c r="U74" s="6"/>
      <c r="V74" s="6"/>
      <c r="W74" s="6"/>
      <c r="X74" s="8"/>
      <c r="Y74" s="6"/>
      <c r="Z74" s="6"/>
      <c r="AA74" s="7"/>
      <c r="AB74" s="9" t="str">
        <f aca="false">IF(N74="","",MAX(0,N74-AA74))</f>
        <v/>
      </c>
      <c r="AC74" s="10" t="str">
        <f aca="false">IF(N74="","",IF(N74=0,0,AA74/N74))</f>
        <v/>
      </c>
      <c r="AD74" s="8"/>
      <c r="AE74" s="6"/>
      <c r="AF74" s="6"/>
      <c r="AG74" s="6"/>
      <c r="AH74" s="6"/>
      <c r="AI74" s="2" t="str">
        <f aca="false">IF(A74="","",IF(V74="Yes",IF(U74="Yes",1,2),""))</f>
        <v/>
      </c>
      <c r="AJ74" s="8"/>
      <c r="AK74" s="2" t="str">
        <f aca="false">IF(A74="","",IF(AJ74="","",COUNTIFS($E$2:$E$201,E74,$AI$2:$AI$201,AI74,$AJ$2:$AJ$201,"&lt;="&amp;AJ74)))</f>
        <v/>
      </c>
      <c r="AL74" s="2" t="str">
        <f aca="false">IF(A74="","",IF(AH74&lt;&gt;"Confirmado","No",IF(AG74="CO/SO₂ simultáneos",IF(OR(COUNTIFS($E$2:$E$201,E74,$AH$2:$AH$201,"Confirmado",$AG$2:$AG$201,"CO/SO₂ simultáneos")=3,SUMIFS($J$2:$J$201,$E$2:$E$201,E74,$AH$2:$AH$201,"Confirmado",$AG$2:$AG$201,"CO/SO₂ simultáneos")=6),"Sí","No"),IF(OR(AND(F74&gt;0,SUMIFS($F$2:$F$201,$E$2:$E$201,E74,$AH$2:$AH$201,"Confirmado")=4),AND(G74&gt;0,SUMIFS($G$2:$G$201,$E$2:$E$201,E74,$AH$2:$AH$201,"Confirmado")=4),AND(H74&gt;0,SUMIFS($H$2:$H$201,$E$2:$E$201,E74,$AH$2:$AH$201,"Confirmado")=4),AND(I74&gt;0,SUMIFS($I$2:$I$201,$E$2:$E$201,E74,$AH$2:$AH$201,"Confirmado")=4)),"Sí","No"))))</f>
        <v/>
      </c>
      <c r="AM74" s="2" t="str">
        <f aca="false">IF(A74="","",IF(AH74&lt;&gt;"Confirmado","",IF(AG74="CO/SO₂ simultáneos",IF(OR(COUNTIFS($E$2:$E$201,E74,$AH$2:$AH$201,"Confirmado",$AG$2:$AG$201,"CO/SO₂ simultáneos")&gt;3,SUMIFS($J$2:$J$201,$E$2:$E$201,E74,$AH$2:$AH$201,"Confirmado",$AG$2:$AG$201,"CO/SO₂ simultáneos")&gt;6),"CAPACIDAD EXCEDIDA","OK"),IF(OR(SUMIFS($F$2:$F$201,$E$2:$E$201,E74,$AH$2:$AH$201,"Confirmado")&gt;4,SUMIFS($G$2:$G$201,$E$2:$E$201,E74,$AH$2:$AH$201,"Confirmado")&gt;4,SUMIFS($H$2:$H$201,$E$2:$E$201,E74,$AH$2:$AH$201,"Confirmado")&gt;4,SUMIFS($I$2:$I$201,$E$2:$E$201,E74,$AH$2:$AH$201,"Confirmado")&gt;4),"CAPACIDAD EXCEDIDA","OK"))))</f>
        <v/>
      </c>
      <c r="AN74" s="2" t="str">
        <f aca="true">IF(A74="","",IF(AND(AC74&lt;1,Q74&lt;TODAY(),AH74="Aceptado pendiente de pago/orden"),"PLAZO VENCIDO",IF(AND(AC74&lt;1,AD74&lt;&gt;"",AD74&lt;TODAY()),"VENCIDO","OK")))</f>
        <v/>
      </c>
      <c r="AO74" s="6"/>
      <c r="AP74" s="8"/>
      <c r="AQ74" s="6"/>
      <c r="AR74" s="6" t="s">
        <v>73</v>
      </c>
      <c r="AS74" s="6"/>
      <c r="AT74" s="6"/>
      <c r="AU74" s="6"/>
      <c r="AV74" s="6"/>
      <c r="AW74" s="8" t="str">
        <f aca="false">IF(AV74="","",AV74+60)</f>
        <v/>
      </c>
      <c r="AX74" s="11" t="str">
        <f aca="true">IF(A74="","",IF(AND(AV74&lt;&gt;"",AW74&lt;TODAY(),OR(AH74="Interés",AH74="Cotizado")),"Sí","No"))</f>
        <v/>
      </c>
      <c r="AY74" s="6"/>
      <c r="AZ74" s="6"/>
      <c r="BA74" s="6"/>
      <c r="BB74" s="6"/>
      <c r="BC74" s="4"/>
      <c r="BD74" s="12"/>
    </row>
    <row r="75" customFormat="false" ht="23.8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2" t="n">
        <f aca="false">SUM(F75:I75)</f>
        <v>0</v>
      </c>
      <c r="K75" s="6"/>
      <c r="L75" s="6"/>
      <c r="M75" s="7"/>
      <c r="N75" s="7"/>
      <c r="O75" s="8"/>
      <c r="P75" s="8"/>
      <c r="Q75" s="8"/>
      <c r="R75" s="8"/>
      <c r="S75" s="8"/>
      <c r="T75" s="6"/>
      <c r="U75" s="6"/>
      <c r="V75" s="6"/>
      <c r="W75" s="6"/>
      <c r="X75" s="8"/>
      <c r="Y75" s="6"/>
      <c r="Z75" s="6"/>
      <c r="AA75" s="7"/>
      <c r="AB75" s="9" t="str">
        <f aca="false">IF(N75="","",MAX(0,N75-AA75))</f>
        <v/>
      </c>
      <c r="AC75" s="10" t="str">
        <f aca="false">IF(N75="","",IF(N75=0,0,AA75/N75))</f>
        <v/>
      </c>
      <c r="AD75" s="8"/>
      <c r="AE75" s="6"/>
      <c r="AF75" s="6"/>
      <c r="AG75" s="6"/>
      <c r="AH75" s="6"/>
      <c r="AI75" s="2" t="str">
        <f aca="false">IF(A75="","",IF(V75="Yes",IF(U75="Yes",1,2),""))</f>
        <v/>
      </c>
      <c r="AJ75" s="8"/>
      <c r="AK75" s="2" t="str">
        <f aca="false">IF(A75="","",IF(AJ75="","",COUNTIFS($E$2:$E$201,E75,$AI$2:$AI$201,AI75,$AJ$2:$AJ$201,"&lt;="&amp;AJ75)))</f>
        <v/>
      </c>
      <c r="AL75" s="2" t="str">
        <f aca="false">IF(A75="","",IF(AH75&lt;&gt;"Confirmado","No",IF(AG75="CO/SO₂ simultáneos",IF(OR(COUNTIFS($E$2:$E$201,E75,$AH$2:$AH$201,"Confirmado",$AG$2:$AG$201,"CO/SO₂ simultáneos")=3,SUMIFS($J$2:$J$201,$E$2:$E$201,E75,$AH$2:$AH$201,"Confirmado",$AG$2:$AG$201,"CO/SO₂ simultáneos")=6),"Sí","No"),IF(OR(AND(F75&gt;0,SUMIFS($F$2:$F$201,$E$2:$E$201,E75,$AH$2:$AH$201,"Confirmado")=4),AND(G75&gt;0,SUMIFS($G$2:$G$201,$E$2:$E$201,E75,$AH$2:$AH$201,"Confirmado")=4),AND(H75&gt;0,SUMIFS($H$2:$H$201,$E$2:$E$201,E75,$AH$2:$AH$201,"Confirmado")=4),AND(I75&gt;0,SUMIFS($I$2:$I$201,$E$2:$E$201,E75,$AH$2:$AH$201,"Confirmado")=4)),"Sí","No"))))</f>
        <v/>
      </c>
      <c r="AM75" s="2" t="str">
        <f aca="false">IF(A75="","",IF(AH75&lt;&gt;"Confirmado","",IF(AG75="CO/SO₂ simultáneos",IF(OR(COUNTIFS($E$2:$E$201,E75,$AH$2:$AH$201,"Confirmado",$AG$2:$AG$201,"CO/SO₂ simultáneos")&gt;3,SUMIFS($J$2:$J$201,$E$2:$E$201,E75,$AH$2:$AH$201,"Confirmado",$AG$2:$AG$201,"CO/SO₂ simultáneos")&gt;6),"CAPACIDAD EXCEDIDA","OK"),IF(OR(SUMIFS($F$2:$F$201,$E$2:$E$201,E75,$AH$2:$AH$201,"Confirmado")&gt;4,SUMIFS($G$2:$G$201,$E$2:$E$201,E75,$AH$2:$AH$201,"Confirmado")&gt;4,SUMIFS($H$2:$H$201,$E$2:$E$201,E75,$AH$2:$AH$201,"Confirmado")&gt;4,SUMIFS($I$2:$I$201,$E$2:$E$201,E75,$AH$2:$AH$201,"Confirmado")&gt;4),"CAPACIDAD EXCEDIDA","OK"))))</f>
        <v/>
      </c>
      <c r="AN75" s="2" t="str">
        <f aca="true">IF(A75="","",IF(AND(AC75&lt;1,Q75&lt;TODAY(),AH75="Aceptado pendiente de pago/orden"),"PLAZO VENCIDO",IF(AND(AC75&lt;1,AD75&lt;&gt;"",AD75&lt;TODAY()),"VENCIDO","OK")))</f>
        <v/>
      </c>
      <c r="AO75" s="6"/>
      <c r="AP75" s="8"/>
      <c r="AQ75" s="6"/>
      <c r="AR75" s="6" t="s">
        <v>73</v>
      </c>
      <c r="AS75" s="6"/>
      <c r="AT75" s="6"/>
      <c r="AU75" s="6"/>
      <c r="AV75" s="6"/>
      <c r="AW75" s="8" t="str">
        <f aca="false">IF(AV75="","",AV75+60)</f>
        <v/>
      </c>
      <c r="AX75" s="11" t="str">
        <f aca="true">IF(A75="","",IF(AND(AV75&lt;&gt;"",AW75&lt;TODAY(),OR(AH75="Interés",AH75="Cotizado")),"Sí","No"))</f>
        <v/>
      </c>
      <c r="AY75" s="6"/>
      <c r="AZ75" s="6"/>
      <c r="BA75" s="6"/>
      <c r="BB75" s="6"/>
      <c r="BC75" s="4"/>
      <c r="BD75" s="12"/>
    </row>
    <row r="76" customFormat="false" ht="23.8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2" t="n">
        <f aca="false">SUM(F76:I76)</f>
        <v>0</v>
      </c>
      <c r="K76" s="6"/>
      <c r="L76" s="6"/>
      <c r="M76" s="7"/>
      <c r="N76" s="7"/>
      <c r="O76" s="8"/>
      <c r="P76" s="8"/>
      <c r="Q76" s="8"/>
      <c r="R76" s="8"/>
      <c r="S76" s="8"/>
      <c r="T76" s="6"/>
      <c r="U76" s="6"/>
      <c r="V76" s="6"/>
      <c r="W76" s="6"/>
      <c r="X76" s="8"/>
      <c r="Y76" s="6"/>
      <c r="Z76" s="6"/>
      <c r="AA76" s="7"/>
      <c r="AB76" s="9" t="str">
        <f aca="false">IF(N76="","",MAX(0,N76-AA76))</f>
        <v/>
      </c>
      <c r="AC76" s="10" t="str">
        <f aca="false">IF(N76="","",IF(N76=0,0,AA76/N76))</f>
        <v/>
      </c>
      <c r="AD76" s="8"/>
      <c r="AE76" s="6"/>
      <c r="AF76" s="6"/>
      <c r="AG76" s="6"/>
      <c r="AH76" s="6"/>
      <c r="AI76" s="2" t="str">
        <f aca="false">IF(A76="","",IF(V76="Yes",IF(U76="Yes",1,2),""))</f>
        <v/>
      </c>
      <c r="AJ76" s="8"/>
      <c r="AK76" s="2" t="str">
        <f aca="false">IF(A76="","",IF(AJ76="","",COUNTIFS($E$2:$E$201,E76,$AI$2:$AI$201,AI76,$AJ$2:$AJ$201,"&lt;="&amp;AJ76)))</f>
        <v/>
      </c>
      <c r="AL76" s="2" t="str">
        <f aca="false">IF(A76="","",IF(AH76&lt;&gt;"Confirmado","No",IF(AG76="CO/SO₂ simultáneos",IF(OR(COUNTIFS($E$2:$E$201,E76,$AH$2:$AH$201,"Confirmado",$AG$2:$AG$201,"CO/SO₂ simultáneos")=3,SUMIFS($J$2:$J$201,$E$2:$E$201,E76,$AH$2:$AH$201,"Confirmado",$AG$2:$AG$201,"CO/SO₂ simultáneos")=6),"Sí","No"),IF(OR(AND(F76&gt;0,SUMIFS($F$2:$F$201,$E$2:$E$201,E76,$AH$2:$AH$201,"Confirmado")=4),AND(G76&gt;0,SUMIFS($G$2:$G$201,$E$2:$E$201,E76,$AH$2:$AH$201,"Confirmado")=4),AND(H76&gt;0,SUMIFS($H$2:$H$201,$E$2:$E$201,E76,$AH$2:$AH$201,"Confirmado")=4),AND(I76&gt;0,SUMIFS($I$2:$I$201,$E$2:$E$201,E76,$AH$2:$AH$201,"Confirmado")=4)),"Sí","No"))))</f>
        <v/>
      </c>
      <c r="AM76" s="2" t="str">
        <f aca="false">IF(A76="","",IF(AH76&lt;&gt;"Confirmado","",IF(AG76="CO/SO₂ simultáneos",IF(OR(COUNTIFS($E$2:$E$201,E76,$AH$2:$AH$201,"Confirmado",$AG$2:$AG$201,"CO/SO₂ simultáneos")&gt;3,SUMIFS($J$2:$J$201,$E$2:$E$201,E76,$AH$2:$AH$201,"Confirmado",$AG$2:$AG$201,"CO/SO₂ simultáneos")&gt;6),"CAPACIDAD EXCEDIDA","OK"),IF(OR(SUMIFS($F$2:$F$201,$E$2:$E$201,E76,$AH$2:$AH$201,"Confirmado")&gt;4,SUMIFS($G$2:$G$201,$E$2:$E$201,E76,$AH$2:$AH$201,"Confirmado")&gt;4,SUMIFS($H$2:$H$201,$E$2:$E$201,E76,$AH$2:$AH$201,"Confirmado")&gt;4,SUMIFS($I$2:$I$201,$E$2:$E$201,E76,$AH$2:$AH$201,"Confirmado")&gt;4),"CAPACIDAD EXCEDIDA","OK"))))</f>
        <v/>
      </c>
      <c r="AN76" s="2" t="str">
        <f aca="true">IF(A76="","",IF(AND(AC76&lt;1,Q76&lt;TODAY(),AH76="Aceptado pendiente de pago/orden"),"PLAZO VENCIDO",IF(AND(AC76&lt;1,AD76&lt;&gt;"",AD76&lt;TODAY()),"VENCIDO","OK")))</f>
        <v/>
      </c>
      <c r="AO76" s="6"/>
      <c r="AP76" s="8"/>
      <c r="AQ76" s="6"/>
      <c r="AR76" s="6" t="s">
        <v>73</v>
      </c>
      <c r="AS76" s="6"/>
      <c r="AT76" s="6"/>
      <c r="AU76" s="6"/>
      <c r="AV76" s="6"/>
      <c r="AW76" s="8" t="str">
        <f aca="false">IF(AV76="","",AV76+60)</f>
        <v/>
      </c>
      <c r="AX76" s="11" t="str">
        <f aca="true">IF(A76="","",IF(AND(AV76&lt;&gt;"",AW76&lt;TODAY(),OR(AH76="Interés",AH76="Cotizado")),"Sí","No"))</f>
        <v/>
      </c>
      <c r="AY76" s="6"/>
      <c r="AZ76" s="6"/>
      <c r="BA76" s="6"/>
      <c r="BB76" s="6"/>
      <c r="BC76" s="4"/>
      <c r="BD76" s="12"/>
    </row>
    <row r="77" customFormat="false" ht="23.8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2" t="n">
        <f aca="false">SUM(F77:I77)</f>
        <v>0</v>
      </c>
      <c r="K77" s="6"/>
      <c r="L77" s="6"/>
      <c r="M77" s="7"/>
      <c r="N77" s="7"/>
      <c r="O77" s="8"/>
      <c r="P77" s="8"/>
      <c r="Q77" s="8"/>
      <c r="R77" s="8"/>
      <c r="S77" s="8"/>
      <c r="T77" s="6"/>
      <c r="U77" s="6"/>
      <c r="V77" s="6"/>
      <c r="W77" s="6"/>
      <c r="X77" s="8"/>
      <c r="Y77" s="6"/>
      <c r="Z77" s="6"/>
      <c r="AA77" s="7"/>
      <c r="AB77" s="9" t="str">
        <f aca="false">IF(N77="","",MAX(0,N77-AA77))</f>
        <v/>
      </c>
      <c r="AC77" s="10" t="str">
        <f aca="false">IF(N77="","",IF(N77=0,0,AA77/N77))</f>
        <v/>
      </c>
      <c r="AD77" s="8"/>
      <c r="AE77" s="6"/>
      <c r="AF77" s="6"/>
      <c r="AG77" s="6"/>
      <c r="AH77" s="6"/>
      <c r="AI77" s="2" t="str">
        <f aca="false">IF(A77="","",IF(V77="Yes",IF(U77="Yes",1,2),""))</f>
        <v/>
      </c>
      <c r="AJ77" s="8"/>
      <c r="AK77" s="2" t="str">
        <f aca="false">IF(A77="","",IF(AJ77="","",COUNTIFS($E$2:$E$201,E77,$AI$2:$AI$201,AI77,$AJ$2:$AJ$201,"&lt;="&amp;AJ77)))</f>
        <v/>
      </c>
      <c r="AL77" s="2" t="str">
        <f aca="false">IF(A77="","",IF(AH77&lt;&gt;"Confirmado","No",IF(AG77="CO/SO₂ simultáneos",IF(OR(COUNTIFS($E$2:$E$201,E77,$AH$2:$AH$201,"Confirmado",$AG$2:$AG$201,"CO/SO₂ simultáneos")=3,SUMIFS($J$2:$J$201,$E$2:$E$201,E77,$AH$2:$AH$201,"Confirmado",$AG$2:$AG$201,"CO/SO₂ simultáneos")=6),"Sí","No"),IF(OR(AND(F77&gt;0,SUMIFS($F$2:$F$201,$E$2:$E$201,E77,$AH$2:$AH$201,"Confirmado")=4),AND(G77&gt;0,SUMIFS($G$2:$G$201,$E$2:$E$201,E77,$AH$2:$AH$201,"Confirmado")=4),AND(H77&gt;0,SUMIFS($H$2:$H$201,$E$2:$E$201,E77,$AH$2:$AH$201,"Confirmado")=4),AND(I77&gt;0,SUMIFS($I$2:$I$201,$E$2:$E$201,E77,$AH$2:$AH$201,"Confirmado")=4)),"Sí","No"))))</f>
        <v/>
      </c>
      <c r="AM77" s="2" t="str">
        <f aca="false">IF(A77="","",IF(AH77&lt;&gt;"Confirmado","",IF(AG77="CO/SO₂ simultáneos",IF(OR(COUNTIFS($E$2:$E$201,E77,$AH$2:$AH$201,"Confirmado",$AG$2:$AG$201,"CO/SO₂ simultáneos")&gt;3,SUMIFS($J$2:$J$201,$E$2:$E$201,E77,$AH$2:$AH$201,"Confirmado",$AG$2:$AG$201,"CO/SO₂ simultáneos")&gt;6),"CAPACIDAD EXCEDIDA","OK"),IF(OR(SUMIFS($F$2:$F$201,$E$2:$E$201,E77,$AH$2:$AH$201,"Confirmado")&gt;4,SUMIFS($G$2:$G$201,$E$2:$E$201,E77,$AH$2:$AH$201,"Confirmado")&gt;4,SUMIFS($H$2:$H$201,$E$2:$E$201,E77,$AH$2:$AH$201,"Confirmado")&gt;4,SUMIFS($I$2:$I$201,$E$2:$E$201,E77,$AH$2:$AH$201,"Confirmado")&gt;4),"CAPACIDAD EXCEDIDA","OK"))))</f>
        <v/>
      </c>
      <c r="AN77" s="2" t="str">
        <f aca="true">IF(A77="","",IF(AND(AC77&lt;1,Q77&lt;TODAY(),AH77="Aceptado pendiente de pago/orden"),"PLAZO VENCIDO",IF(AND(AC77&lt;1,AD77&lt;&gt;"",AD77&lt;TODAY()),"VENCIDO","OK")))</f>
        <v/>
      </c>
      <c r="AO77" s="6"/>
      <c r="AP77" s="8"/>
      <c r="AQ77" s="6"/>
      <c r="AR77" s="6" t="s">
        <v>73</v>
      </c>
      <c r="AS77" s="6"/>
      <c r="AT77" s="6"/>
      <c r="AU77" s="6"/>
      <c r="AV77" s="6"/>
      <c r="AW77" s="8" t="str">
        <f aca="false">IF(AV77="","",AV77+60)</f>
        <v/>
      </c>
      <c r="AX77" s="11" t="str">
        <f aca="true">IF(A77="","",IF(AND(AV77&lt;&gt;"",AW77&lt;TODAY(),OR(AH77="Interés",AH77="Cotizado")),"Sí","No"))</f>
        <v/>
      </c>
      <c r="AY77" s="6"/>
      <c r="AZ77" s="6"/>
      <c r="BA77" s="6"/>
      <c r="BB77" s="6"/>
      <c r="BC77" s="4"/>
      <c r="BD77" s="12"/>
    </row>
    <row r="78" customFormat="false" ht="23.8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2" t="n">
        <f aca="false">SUM(F78:I78)</f>
        <v>0</v>
      </c>
      <c r="K78" s="6"/>
      <c r="L78" s="6"/>
      <c r="M78" s="7"/>
      <c r="N78" s="7"/>
      <c r="O78" s="8"/>
      <c r="P78" s="8"/>
      <c r="Q78" s="8"/>
      <c r="R78" s="8"/>
      <c r="S78" s="8"/>
      <c r="T78" s="6"/>
      <c r="U78" s="6"/>
      <c r="V78" s="6"/>
      <c r="W78" s="6"/>
      <c r="X78" s="8"/>
      <c r="Y78" s="6"/>
      <c r="Z78" s="6"/>
      <c r="AA78" s="7"/>
      <c r="AB78" s="9" t="str">
        <f aca="false">IF(N78="","",MAX(0,N78-AA78))</f>
        <v/>
      </c>
      <c r="AC78" s="10" t="str">
        <f aca="false">IF(N78="","",IF(N78=0,0,AA78/N78))</f>
        <v/>
      </c>
      <c r="AD78" s="8"/>
      <c r="AE78" s="6"/>
      <c r="AF78" s="6"/>
      <c r="AG78" s="6"/>
      <c r="AH78" s="6"/>
      <c r="AI78" s="2" t="str">
        <f aca="false">IF(A78="","",IF(V78="Yes",IF(U78="Yes",1,2),""))</f>
        <v/>
      </c>
      <c r="AJ78" s="8"/>
      <c r="AK78" s="2" t="str">
        <f aca="false">IF(A78="","",IF(AJ78="","",COUNTIFS($E$2:$E$201,E78,$AI$2:$AI$201,AI78,$AJ$2:$AJ$201,"&lt;="&amp;AJ78)))</f>
        <v/>
      </c>
      <c r="AL78" s="2" t="str">
        <f aca="false">IF(A78="","",IF(AH78&lt;&gt;"Confirmado","No",IF(AG78="CO/SO₂ simultáneos",IF(OR(COUNTIFS($E$2:$E$201,E78,$AH$2:$AH$201,"Confirmado",$AG$2:$AG$201,"CO/SO₂ simultáneos")=3,SUMIFS($J$2:$J$201,$E$2:$E$201,E78,$AH$2:$AH$201,"Confirmado",$AG$2:$AG$201,"CO/SO₂ simultáneos")=6),"Sí","No"),IF(OR(AND(F78&gt;0,SUMIFS($F$2:$F$201,$E$2:$E$201,E78,$AH$2:$AH$201,"Confirmado")=4),AND(G78&gt;0,SUMIFS($G$2:$G$201,$E$2:$E$201,E78,$AH$2:$AH$201,"Confirmado")=4),AND(H78&gt;0,SUMIFS($H$2:$H$201,$E$2:$E$201,E78,$AH$2:$AH$201,"Confirmado")=4),AND(I78&gt;0,SUMIFS($I$2:$I$201,$E$2:$E$201,E78,$AH$2:$AH$201,"Confirmado")=4)),"Sí","No"))))</f>
        <v/>
      </c>
      <c r="AM78" s="2" t="str">
        <f aca="false">IF(A78="","",IF(AH78&lt;&gt;"Confirmado","",IF(AG78="CO/SO₂ simultáneos",IF(OR(COUNTIFS($E$2:$E$201,E78,$AH$2:$AH$201,"Confirmado",$AG$2:$AG$201,"CO/SO₂ simultáneos")&gt;3,SUMIFS($J$2:$J$201,$E$2:$E$201,E78,$AH$2:$AH$201,"Confirmado",$AG$2:$AG$201,"CO/SO₂ simultáneos")&gt;6),"CAPACIDAD EXCEDIDA","OK"),IF(OR(SUMIFS($F$2:$F$201,$E$2:$E$201,E78,$AH$2:$AH$201,"Confirmado")&gt;4,SUMIFS($G$2:$G$201,$E$2:$E$201,E78,$AH$2:$AH$201,"Confirmado")&gt;4,SUMIFS($H$2:$H$201,$E$2:$E$201,E78,$AH$2:$AH$201,"Confirmado")&gt;4,SUMIFS($I$2:$I$201,$E$2:$E$201,E78,$AH$2:$AH$201,"Confirmado")&gt;4),"CAPACIDAD EXCEDIDA","OK"))))</f>
        <v/>
      </c>
      <c r="AN78" s="2" t="str">
        <f aca="true">IF(A78="","",IF(AND(AC78&lt;1,Q78&lt;TODAY(),AH78="Aceptado pendiente de pago/orden"),"PLAZO VENCIDO",IF(AND(AC78&lt;1,AD78&lt;&gt;"",AD78&lt;TODAY()),"VENCIDO","OK")))</f>
        <v/>
      </c>
      <c r="AO78" s="6"/>
      <c r="AP78" s="8"/>
      <c r="AQ78" s="6"/>
      <c r="AR78" s="6" t="s">
        <v>73</v>
      </c>
      <c r="AS78" s="6"/>
      <c r="AT78" s="6"/>
      <c r="AU78" s="6"/>
      <c r="AV78" s="6"/>
      <c r="AW78" s="8" t="str">
        <f aca="false">IF(AV78="","",AV78+60)</f>
        <v/>
      </c>
      <c r="AX78" s="11" t="str">
        <f aca="true">IF(A78="","",IF(AND(AV78&lt;&gt;"",AW78&lt;TODAY(),OR(AH78="Interés",AH78="Cotizado")),"Sí","No"))</f>
        <v/>
      </c>
      <c r="AY78" s="6"/>
      <c r="AZ78" s="6"/>
      <c r="BA78" s="6"/>
      <c r="BB78" s="6"/>
      <c r="BC78" s="4"/>
      <c r="BD78" s="12"/>
    </row>
    <row r="79" customFormat="false" ht="23.8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2" t="n">
        <f aca="false">SUM(F79:I79)</f>
        <v>0</v>
      </c>
      <c r="K79" s="6"/>
      <c r="L79" s="6"/>
      <c r="M79" s="7"/>
      <c r="N79" s="7"/>
      <c r="O79" s="8"/>
      <c r="P79" s="8"/>
      <c r="Q79" s="8"/>
      <c r="R79" s="8"/>
      <c r="S79" s="8"/>
      <c r="T79" s="6"/>
      <c r="U79" s="6"/>
      <c r="V79" s="6"/>
      <c r="W79" s="6"/>
      <c r="X79" s="8"/>
      <c r="Y79" s="6"/>
      <c r="Z79" s="6"/>
      <c r="AA79" s="7"/>
      <c r="AB79" s="9" t="str">
        <f aca="false">IF(N79="","",MAX(0,N79-AA79))</f>
        <v/>
      </c>
      <c r="AC79" s="10" t="str">
        <f aca="false">IF(N79="","",IF(N79=0,0,AA79/N79))</f>
        <v/>
      </c>
      <c r="AD79" s="8"/>
      <c r="AE79" s="6"/>
      <c r="AF79" s="6"/>
      <c r="AG79" s="6"/>
      <c r="AH79" s="6"/>
      <c r="AI79" s="2" t="str">
        <f aca="false">IF(A79="","",IF(V79="Yes",IF(U79="Yes",1,2),""))</f>
        <v/>
      </c>
      <c r="AJ79" s="8"/>
      <c r="AK79" s="2" t="str">
        <f aca="false">IF(A79="","",IF(AJ79="","",COUNTIFS($E$2:$E$201,E79,$AI$2:$AI$201,AI79,$AJ$2:$AJ$201,"&lt;="&amp;AJ79)))</f>
        <v/>
      </c>
      <c r="AL79" s="2" t="str">
        <f aca="false">IF(A79="","",IF(AH79&lt;&gt;"Confirmado","No",IF(AG79="CO/SO₂ simultáneos",IF(OR(COUNTIFS($E$2:$E$201,E79,$AH$2:$AH$201,"Confirmado",$AG$2:$AG$201,"CO/SO₂ simultáneos")=3,SUMIFS($J$2:$J$201,$E$2:$E$201,E79,$AH$2:$AH$201,"Confirmado",$AG$2:$AG$201,"CO/SO₂ simultáneos")=6),"Sí","No"),IF(OR(AND(F79&gt;0,SUMIFS($F$2:$F$201,$E$2:$E$201,E79,$AH$2:$AH$201,"Confirmado")=4),AND(G79&gt;0,SUMIFS($G$2:$G$201,$E$2:$E$201,E79,$AH$2:$AH$201,"Confirmado")=4),AND(H79&gt;0,SUMIFS($H$2:$H$201,$E$2:$E$201,E79,$AH$2:$AH$201,"Confirmado")=4),AND(I79&gt;0,SUMIFS($I$2:$I$201,$E$2:$E$201,E79,$AH$2:$AH$201,"Confirmado")=4)),"Sí","No"))))</f>
        <v/>
      </c>
      <c r="AM79" s="2" t="str">
        <f aca="false">IF(A79="","",IF(AH79&lt;&gt;"Confirmado","",IF(AG79="CO/SO₂ simultáneos",IF(OR(COUNTIFS($E$2:$E$201,E79,$AH$2:$AH$201,"Confirmado",$AG$2:$AG$201,"CO/SO₂ simultáneos")&gt;3,SUMIFS($J$2:$J$201,$E$2:$E$201,E79,$AH$2:$AH$201,"Confirmado",$AG$2:$AG$201,"CO/SO₂ simultáneos")&gt;6),"CAPACIDAD EXCEDIDA","OK"),IF(OR(SUMIFS($F$2:$F$201,$E$2:$E$201,E79,$AH$2:$AH$201,"Confirmado")&gt;4,SUMIFS($G$2:$G$201,$E$2:$E$201,E79,$AH$2:$AH$201,"Confirmado")&gt;4,SUMIFS($H$2:$H$201,$E$2:$E$201,E79,$AH$2:$AH$201,"Confirmado")&gt;4,SUMIFS($I$2:$I$201,$E$2:$E$201,E79,$AH$2:$AH$201,"Confirmado")&gt;4),"CAPACIDAD EXCEDIDA","OK"))))</f>
        <v/>
      </c>
      <c r="AN79" s="2" t="str">
        <f aca="true">IF(A79="","",IF(AND(AC79&lt;1,Q79&lt;TODAY(),AH79="Aceptado pendiente de pago/orden"),"PLAZO VENCIDO",IF(AND(AC79&lt;1,AD79&lt;&gt;"",AD79&lt;TODAY()),"VENCIDO","OK")))</f>
        <v/>
      </c>
      <c r="AO79" s="6"/>
      <c r="AP79" s="8"/>
      <c r="AQ79" s="6"/>
      <c r="AR79" s="6" t="s">
        <v>73</v>
      </c>
      <c r="AS79" s="6"/>
      <c r="AT79" s="6"/>
      <c r="AU79" s="6"/>
      <c r="AV79" s="6"/>
      <c r="AW79" s="8" t="str">
        <f aca="false">IF(AV79="","",AV79+60)</f>
        <v/>
      </c>
      <c r="AX79" s="11" t="str">
        <f aca="true">IF(A79="","",IF(AND(AV79&lt;&gt;"",AW79&lt;TODAY(),OR(AH79="Interés",AH79="Cotizado")),"Sí","No"))</f>
        <v/>
      </c>
      <c r="AY79" s="6"/>
      <c r="AZ79" s="6"/>
      <c r="BA79" s="6"/>
      <c r="BB79" s="6"/>
      <c r="BC79" s="4"/>
      <c r="BD79" s="12"/>
    </row>
    <row r="80" customFormat="false" ht="23.8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2" t="n">
        <f aca="false">SUM(F80:I80)</f>
        <v>0</v>
      </c>
      <c r="K80" s="6"/>
      <c r="L80" s="6"/>
      <c r="M80" s="7"/>
      <c r="N80" s="7"/>
      <c r="O80" s="8"/>
      <c r="P80" s="8"/>
      <c r="Q80" s="8"/>
      <c r="R80" s="8"/>
      <c r="S80" s="8"/>
      <c r="T80" s="6"/>
      <c r="U80" s="6"/>
      <c r="V80" s="6"/>
      <c r="W80" s="6"/>
      <c r="X80" s="8"/>
      <c r="Y80" s="6"/>
      <c r="Z80" s="6"/>
      <c r="AA80" s="7"/>
      <c r="AB80" s="9" t="str">
        <f aca="false">IF(N80="","",MAX(0,N80-AA80))</f>
        <v/>
      </c>
      <c r="AC80" s="10" t="str">
        <f aca="false">IF(N80="","",IF(N80=0,0,AA80/N80))</f>
        <v/>
      </c>
      <c r="AD80" s="8"/>
      <c r="AE80" s="6"/>
      <c r="AF80" s="6"/>
      <c r="AG80" s="6"/>
      <c r="AH80" s="6"/>
      <c r="AI80" s="2" t="str">
        <f aca="false">IF(A80="","",IF(V80="Yes",IF(U80="Yes",1,2),""))</f>
        <v/>
      </c>
      <c r="AJ80" s="8"/>
      <c r="AK80" s="2" t="str">
        <f aca="false">IF(A80="","",IF(AJ80="","",COUNTIFS($E$2:$E$201,E80,$AI$2:$AI$201,AI80,$AJ$2:$AJ$201,"&lt;="&amp;AJ80)))</f>
        <v/>
      </c>
      <c r="AL80" s="2" t="str">
        <f aca="false">IF(A80="","",IF(AH80&lt;&gt;"Confirmado","No",IF(AG80="CO/SO₂ simultáneos",IF(OR(COUNTIFS($E$2:$E$201,E80,$AH$2:$AH$201,"Confirmado",$AG$2:$AG$201,"CO/SO₂ simultáneos")=3,SUMIFS($J$2:$J$201,$E$2:$E$201,E80,$AH$2:$AH$201,"Confirmado",$AG$2:$AG$201,"CO/SO₂ simultáneos")=6),"Sí","No"),IF(OR(AND(F80&gt;0,SUMIFS($F$2:$F$201,$E$2:$E$201,E80,$AH$2:$AH$201,"Confirmado")=4),AND(G80&gt;0,SUMIFS($G$2:$G$201,$E$2:$E$201,E80,$AH$2:$AH$201,"Confirmado")=4),AND(H80&gt;0,SUMIFS($H$2:$H$201,$E$2:$E$201,E80,$AH$2:$AH$201,"Confirmado")=4),AND(I80&gt;0,SUMIFS($I$2:$I$201,$E$2:$E$201,E80,$AH$2:$AH$201,"Confirmado")=4)),"Sí","No"))))</f>
        <v/>
      </c>
      <c r="AM80" s="2" t="str">
        <f aca="false">IF(A80="","",IF(AH80&lt;&gt;"Confirmado","",IF(AG80="CO/SO₂ simultáneos",IF(OR(COUNTIFS($E$2:$E$201,E80,$AH$2:$AH$201,"Confirmado",$AG$2:$AG$201,"CO/SO₂ simultáneos")&gt;3,SUMIFS($J$2:$J$201,$E$2:$E$201,E80,$AH$2:$AH$201,"Confirmado",$AG$2:$AG$201,"CO/SO₂ simultáneos")&gt;6),"CAPACIDAD EXCEDIDA","OK"),IF(OR(SUMIFS($F$2:$F$201,$E$2:$E$201,E80,$AH$2:$AH$201,"Confirmado")&gt;4,SUMIFS($G$2:$G$201,$E$2:$E$201,E80,$AH$2:$AH$201,"Confirmado")&gt;4,SUMIFS($H$2:$H$201,$E$2:$E$201,E80,$AH$2:$AH$201,"Confirmado")&gt;4,SUMIFS($I$2:$I$201,$E$2:$E$201,E80,$AH$2:$AH$201,"Confirmado")&gt;4),"CAPACIDAD EXCEDIDA","OK"))))</f>
        <v/>
      </c>
      <c r="AN80" s="2" t="str">
        <f aca="true">IF(A80="","",IF(AND(AC80&lt;1,Q80&lt;TODAY(),AH80="Aceptado pendiente de pago/orden"),"PLAZO VENCIDO",IF(AND(AC80&lt;1,AD80&lt;&gt;"",AD80&lt;TODAY()),"VENCIDO","OK")))</f>
        <v/>
      </c>
      <c r="AO80" s="6"/>
      <c r="AP80" s="8"/>
      <c r="AQ80" s="6"/>
      <c r="AR80" s="6" t="s">
        <v>73</v>
      </c>
      <c r="AS80" s="6"/>
      <c r="AT80" s="6"/>
      <c r="AU80" s="6"/>
      <c r="AV80" s="6"/>
      <c r="AW80" s="8" t="str">
        <f aca="false">IF(AV80="","",AV80+60)</f>
        <v/>
      </c>
      <c r="AX80" s="11" t="str">
        <f aca="true">IF(A80="","",IF(AND(AV80&lt;&gt;"",AW80&lt;TODAY(),OR(AH80="Interés",AH80="Cotizado")),"Sí","No"))</f>
        <v/>
      </c>
      <c r="AY80" s="6"/>
      <c r="AZ80" s="6"/>
      <c r="BA80" s="6"/>
      <c r="BB80" s="6"/>
      <c r="BC80" s="4"/>
      <c r="BD80" s="12"/>
    </row>
    <row r="81" customFormat="false" ht="23.8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2" t="n">
        <f aca="false">SUM(F81:I81)</f>
        <v>0</v>
      </c>
      <c r="K81" s="6"/>
      <c r="L81" s="6"/>
      <c r="M81" s="7"/>
      <c r="N81" s="7"/>
      <c r="O81" s="8"/>
      <c r="P81" s="8"/>
      <c r="Q81" s="8"/>
      <c r="R81" s="8"/>
      <c r="S81" s="8"/>
      <c r="T81" s="6"/>
      <c r="U81" s="6"/>
      <c r="V81" s="6"/>
      <c r="W81" s="6"/>
      <c r="X81" s="8"/>
      <c r="Y81" s="6"/>
      <c r="Z81" s="6"/>
      <c r="AA81" s="7"/>
      <c r="AB81" s="9" t="str">
        <f aca="false">IF(N81="","",MAX(0,N81-AA81))</f>
        <v/>
      </c>
      <c r="AC81" s="10" t="str">
        <f aca="false">IF(N81="","",IF(N81=0,0,AA81/N81))</f>
        <v/>
      </c>
      <c r="AD81" s="8"/>
      <c r="AE81" s="6"/>
      <c r="AF81" s="6"/>
      <c r="AG81" s="6"/>
      <c r="AH81" s="6"/>
      <c r="AI81" s="2" t="str">
        <f aca="false">IF(A81="","",IF(V81="Yes",IF(U81="Yes",1,2),""))</f>
        <v/>
      </c>
      <c r="AJ81" s="8"/>
      <c r="AK81" s="2" t="str">
        <f aca="false">IF(A81="","",IF(AJ81="","",COUNTIFS($E$2:$E$201,E81,$AI$2:$AI$201,AI81,$AJ$2:$AJ$201,"&lt;="&amp;AJ81)))</f>
        <v/>
      </c>
      <c r="AL81" s="2" t="str">
        <f aca="false">IF(A81="","",IF(AH81&lt;&gt;"Confirmado","No",IF(AG81="CO/SO₂ simultáneos",IF(OR(COUNTIFS($E$2:$E$201,E81,$AH$2:$AH$201,"Confirmado",$AG$2:$AG$201,"CO/SO₂ simultáneos")=3,SUMIFS($J$2:$J$201,$E$2:$E$201,E81,$AH$2:$AH$201,"Confirmado",$AG$2:$AG$201,"CO/SO₂ simultáneos")=6),"Sí","No"),IF(OR(AND(F81&gt;0,SUMIFS($F$2:$F$201,$E$2:$E$201,E81,$AH$2:$AH$201,"Confirmado")=4),AND(G81&gt;0,SUMIFS($G$2:$G$201,$E$2:$E$201,E81,$AH$2:$AH$201,"Confirmado")=4),AND(H81&gt;0,SUMIFS($H$2:$H$201,$E$2:$E$201,E81,$AH$2:$AH$201,"Confirmado")=4),AND(I81&gt;0,SUMIFS($I$2:$I$201,$E$2:$E$201,E81,$AH$2:$AH$201,"Confirmado")=4)),"Sí","No"))))</f>
        <v/>
      </c>
      <c r="AM81" s="2" t="str">
        <f aca="false">IF(A81="","",IF(AH81&lt;&gt;"Confirmado","",IF(AG81="CO/SO₂ simultáneos",IF(OR(COUNTIFS($E$2:$E$201,E81,$AH$2:$AH$201,"Confirmado",$AG$2:$AG$201,"CO/SO₂ simultáneos")&gt;3,SUMIFS($J$2:$J$201,$E$2:$E$201,E81,$AH$2:$AH$201,"Confirmado",$AG$2:$AG$201,"CO/SO₂ simultáneos")&gt;6),"CAPACIDAD EXCEDIDA","OK"),IF(OR(SUMIFS($F$2:$F$201,$E$2:$E$201,E81,$AH$2:$AH$201,"Confirmado")&gt;4,SUMIFS($G$2:$G$201,$E$2:$E$201,E81,$AH$2:$AH$201,"Confirmado")&gt;4,SUMIFS($H$2:$H$201,$E$2:$E$201,E81,$AH$2:$AH$201,"Confirmado")&gt;4,SUMIFS($I$2:$I$201,$E$2:$E$201,E81,$AH$2:$AH$201,"Confirmado")&gt;4),"CAPACIDAD EXCEDIDA","OK"))))</f>
        <v/>
      </c>
      <c r="AN81" s="2" t="str">
        <f aca="true">IF(A81="","",IF(AND(AC81&lt;1,Q81&lt;TODAY(),AH81="Aceptado pendiente de pago/orden"),"PLAZO VENCIDO",IF(AND(AC81&lt;1,AD81&lt;&gt;"",AD81&lt;TODAY()),"VENCIDO","OK")))</f>
        <v/>
      </c>
      <c r="AO81" s="6"/>
      <c r="AP81" s="8"/>
      <c r="AQ81" s="6"/>
      <c r="AR81" s="6" t="s">
        <v>73</v>
      </c>
      <c r="AS81" s="6"/>
      <c r="AT81" s="6"/>
      <c r="AU81" s="6"/>
      <c r="AV81" s="6"/>
      <c r="AW81" s="8" t="str">
        <f aca="false">IF(AV81="","",AV81+60)</f>
        <v/>
      </c>
      <c r="AX81" s="11" t="str">
        <f aca="true">IF(A81="","",IF(AND(AV81&lt;&gt;"",AW81&lt;TODAY(),OR(AH81="Interés",AH81="Cotizado")),"Sí","No"))</f>
        <v/>
      </c>
      <c r="AY81" s="6"/>
      <c r="AZ81" s="6"/>
      <c r="BA81" s="6"/>
      <c r="BB81" s="6"/>
      <c r="BC81" s="4"/>
      <c r="BD81" s="12"/>
    </row>
    <row r="82" customFormat="false" ht="23.8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2" t="n">
        <f aca="false">SUM(F82:I82)</f>
        <v>0</v>
      </c>
      <c r="K82" s="6"/>
      <c r="L82" s="6"/>
      <c r="M82" s="7"/>
      <c r="N82" s="7"/>
      <c r="O82" s="8"/>
      <c r="P82" s="8"/>
      <c r="Q82" s="8"/>
      <c r="R82" s="8"/>
      <c r="S82" s="8"/>
      <c r="T82" s="6"/>
      <c r="U82" s="6"/>
      <c r="V82" s="6"/>
      <c r="W82" s="6"/>
      <c r="X82" s="8"/>
      <c r="Y82" s="6"/>
      <c r="Z82" s="6"/>
      <c r="AA82" s="7"/>
      <c r="AB82" s="9" t="str">
        <f aca="false">IF(N82="","",MAX(0,N82-AA82))</f>
        <v/>
      </c>
      <c r="AC82" s="10" t="str">
        <f aca="false">IF(N82="","",IF(N82=0,0,AA82/N82))</f>
        <v/>
      </c>
      <c r="AD82" s="8"/>
      <c r="AE82" s="6"/>
      <c r="AF82" s="6"/>
      <c r="AG82" s="6"/>
      <c r="AH82" s="6"/>
      <c r="AI82" s="2" t="str">
        <f aca="false">IF(A82="","",IF(V82="Yes",IF(U82="Yes",1,2),""))</f>
        <v/>
      </c>
      <c r="AJ82" s="8"/>
      <c r="AK82" s="2" t="str">
        <f aca="false">IF(A82="","",IF(AJ82="","",COUNTIFS($E$2:$E$201,E82,$AI$2:$AI$201,AI82,$AJ$2:$AJ$201,"&lt;="&amp;AJ82)))</f>
        <v/>
      </c>
      <c r="AL82" s="2" t="str">
        <f aca="false">IF(A82="","",IF(AH82&lt;&gt;"Confirmado","No",IF(AG82="CO/SO₂ simultáneos",IF(OR(COUNTIFS($E$2:$E$201,E82,$AH$2:$AH$201,"Confirmado",$AG$2:$AG$201,"CO/SO₂ simultáneos")=3,SUMIFS($J$2:$J$201,$E$2:$E$201,E82,$AH$2:$AH$201,"Confirmado",$AG$2:$AG$201,"CO/SO₂ simultáneos")=6),"Sí","No"),IF(OR(AND(F82&gt;0,SUMIFS($F$2:$F$201,$E$2:$E$201,E82,$AH$2:$AH$201,"Confirmado")=4),AND(G82&gt;0,SUMIFS($G$2:$G$201,$E$2:$E$201,E82,$AH$2:$AH$201,"Confirmado")=4),AND(H82&gt;0,SUMIFS($H$2:$H$201,$E$2:$E$201,E82,$AH$2:$AH$201,"Confirmado")=4),AND(I82&gt;0,SUMIFS($I$2:$I$201,$E$2:$E$201,E82,$AH$2:$AH$201,"Confirmado")=4)),"Sí","No"))))</f>
        <v/>
      </c>
      <c r="AM82" s="2" t="str">
        <f aca="false">IF(A82="","",IF(AH82&lt;&gt;"Confirmado","",IF(AG82="CO/SO₂ simultáneos",IF(OR(COUNTIFS($E$2:$E$201,E82,$AH$2:$AH$201,"Confirmado",$AG$2:$AG$201,"CO/SO₂ simultáneos")&gt;3,SUMIFS($J$2:$J$201,$E$2:$E$201,E82,$AH$2:$AH$201,"Confirmado",$AG$2:$AG$201,"CO/SO₂ simultáneos")&gt;6),"CAPACIDAD EXCEDIDA","OK"),IF(OR(SUMIFS($F$2:$F$201,$E$2:$E$201,E82,$AH$2:$AH$201,"Confirmado")&gt;4,SUMIFS($G$2:$G$201,$E$2:$E$201,E82,$AH$2:$AH$201,"Confirmado")&gt;4,SUMIFS($H$2:$H$201,$E$2:$E$201,E82,$AH$2:$AH$201,"Confirmado")&gt;4,SUMIFS($I$2:$I$201,$E$2:$E$201,E82,$AH$2:$AH$201,"Confirmado")&gt;4),"CAPACIDAD EXCEDIDA","OK"))))</f>
        <v/>
      </c>
      <c r="AN82" s="2" t="str">
        <f aca="true">IF(A82="","",IF(AND(AC82&lt;1,Q82&lt;TODAY(),AH82="Aceptado pendiente de pago/orden"),"PLAZO VENCIDO",IF(AND(AC82&lt;1,AD82&lt;&gt;"",AD82&lt;TODAY()),"VENCIDO","OK")))</f>
        <v/>
      </c>
      <c r="AO82" s="6"/>
      <c r="AP82" s="8"/>
      <c r="AQ82" s="6"/>
      <c r="AR82" s="6" t="s">
        <v>73</v>
      </c>
      <c r="AS82" s="6"/>
      <c r="AT82" s="6"/>
      <c r="AU82" s="6"/>
      <c r="AV82" s="6"/>
      <c r="AW82" s="8" t="str">
        <f aca="false">IF(AV82="","",AV82+60)</f>
        <v/>
      </c>
      <c r="AX82" s="11" t="str">
        <f aca="true">IF(A82="","",IF(AND(AV82&lt;&gt;"",AW82&lt;TODAY(),OR(AH82="Interés",AH82="Cotizado")),"Sí","No"))</f>
        <v/>
      </c>
      <c r="AY82" s="6"/>
      <c r="AZ82" s="6"/>
      <c r="BA82" s="6"/>
      <c r="BB82" s="6"/>
      <c r="BC82" s="4"/>
      <c r="BD82" s="12"/>
    </row>
    <row r="83" customFormat="false" ht="23.8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2" t="n">
        <f aca="false">SUM(F83:I83)</f>
        <v>0</v>
      </c>
      <c r="K83" s="6"/>
      <c r="L83" s="6"/>
      <c r="M83" s="7"/>
      <c r="N83" s="7"/>
      <c r="O83" s="8"/>
      <c r="P83" s="8"/>
      <c r="Q83" s="8"/>
      <c r="R83" s="8"/>
      <c r="S83" s="8"/>
      <c r="T83" s="6"/>
      <c r="U83" s="6"/>
      <c r="V83" s="6"/>
      <c r="W83" s="6"/>
      <c r="X83" s="8"/>
      <c r="Y83" s="6"/>
      <c r="Z83" s="6"/>
      <c r="AA83" s="7"/>
      <c r="AB83" s="9" t="str">
        <f aca="false">IF(N83="","",MAX(0,N83-AA83))</f>
        <v/>
      </c>
      <c r="AC83" s="10" t="str">
        <f aca="false">IF(N83="","",IF(N83=0,0,AA83/N83))</f>
        <v/>
      </c>
      <c r="AD83" s="8"/>
      <c r="AE83" s="6"/>
      <c r="AF83" s="6"/>
      <c r="AG83" s="6"/>
      <c r="AH83" s="6"/>
      <c r="AI83" s="2" t="str">
        <f aca="false">IF(A83="","",IF(V83="Yes",IF(U83="Yes",1,2),""))</f>
        <v/>
      </c>
      <c r="AJ83" s="8"/>
      <c r="AK83" s="2" t="str">
        <f aca="false">IF(A83="","",IF(AJ83="","",COUNTIFS($E$2:$E$201,E83,$AI$2:$AI$201,AI83,$AJ$2:$AJ$201,"&lt;="&amp;AJ83)))</f>
        <v/>
      </c>
      <c r="AL83" s="2" t="str">
        <f aca="false">IF(A83="","",IF(AH83&lt;&gt;"Confirmado","No",IF(AG83="CO/SO₂ simultáneos",IF(OR(COUNTIFS($E$2:$E$201,E83,$AH$2:$AH$201,"Confirmado",$AG$2:$AG$201,"CO/SO₂ simultáneos")=3,SUMIFS($J$2:$J$201,$E$2:$E$201,E83,$AH$2:$AH$201,"Confirmado",$AG$2:$AG$201,"CO/SO₂ simultáneos")=6),"Sí","No"),IF(OR(AND(F83&gt;0,SUMIFS($F$2:$F$201,$E$2:$E$201,E83,$AH$2:$AH$201,"Confirmado")=4),AND(G83&gt;0,SUMIFS($G$2:$G$201,$E$2:$E$201,E83,$AH$2:$AH$201,"Confirmado")=4),AND(H83&gt;0,SUMIFS($H$2:$H$201,$E$2:$E$201,E83,$AH$2:$AH$201,"Confirmado")=4),AND(I83&gt;0,SUMIFS($I$2:$I$201,$E$2:$E$201,E83,$AH$2:$AH$201,"Confirmado")=4)),"Sí","No"))))</f>
        <v/>
      </c>
      <c r="AM83" s="2" t="str">
        <f aca="false">IF(A83="","",IF(AH83&lt;&gt;"Confirmado","",IF(AG83="CO/SO₂ simultáneos",IF(OR(COUNTIFS($E$2:$E$201,E83,$AH$2:$AH$201,"Confirmado",$AG$2:$AG$201,"CO/SO₂ simultáneos")&gt;3,SUMIFS($J$2:$J$201,$E$2:$E$201,E83,$AH$2:$AH$201,"Confirmado",$AG$2:$AG$201,"CO/SO₂ simultáneos")&gt;6),"CAPACIDAD EXCEDIDA","OK"),IF(OR(SUMIFS($F$2:$F$201,$E$2:$E$201,E83,$AH$2:$AH$201,"Confirmado")&gt;4,SUMIFS($G$2:$G$201,$E$2:$E$201,E83,$AH$2:$AH$201,"Confirmado")&gt;4,SUMIFS($H$2:$H$201,$E$2:$E$201,E83,$AH$2:$AH$201,"Confirmado")&gt;4,SUMIFS($I$2:$I$201,$E$2:$E$201,E83,$AH$2:$AH$201,"Confirmado")&gt;4),"CAPACIDAD EXCEDIDA","OK"))))</f>
        <v/>
      </c>
      <c r="AN83" s="2" t="str">
        <f aca="true">IF(A83="","",IF(AND(AC83&lt;1,Q83&lt;TODAY(),AH83="Aceptado pendiente de pago/orden"),"PLAZO VENCIDO",IF(AND(AC83&lt;1,AD83&lt;&gt;"",AD83&lt;TODAY()),"VENCIDO","OK")))</f>
        <v/>
      </c>
      <c r="AO83" s="6"/>
      <c r="AP83" s="8"/>
      <c r="AQ83" s="6"/>
      <c r="AR83" s="6" t="s">
        <v>73</v>
      </c>
      <c r="AS83" s="6"/>
      <c r="AT83" s="6"/>
      <c r="AU83" s="6"/>
      <c r="AV83" s="6"/>
      <c r="AW83" s="8" t="str">
        <f aca="false">IF(AV83="","",AV83+60)</f>
        <v/>
      </c>
      <c r="AX83" s="11" t="str">
        <f aca="true">IF(A83="","",IF(AND(AV83&lt;&gt;"",AW83&lt;TODAY(),OR(AH83="Interés",AH83="Cotizado")),"Sí","No"))</f>
        <v/>
      </c>
      <c r="AY83" s="6"/>
      <c r="AZ83" s="6"/>
      <c r="BA83" s="6"/>
      <c r="BB83" s="6"/>
      <c r="BC83" s="4"/>
      <c r="BD83" s="12"/>
    </row>
    <row r="84" customFormat="false" ht="23.8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2" t="n">
        <f aca="false">SUM(F84:I84)</f>
        <v>0</v>
      </c>
      <c r="K84" s="6"/>
      <c r="L84" s="6"/>
      <c r="M84" s="7"/>
      <c r="N84" s="7"/>
      <c r="O84" s="8"/>
      <c r="P84" s="8"/>
      <c r="Q84" s="8"/>
      <c r="R84" s="8"/>
      <c r="S84" s="8"/>
      <c r="T84" s="6"/>
      <c r="U84" s="6"/>
      <c r="V84" s="6"/>
      <c r="W84" s="6"/>
      <c r="X84" s="8"/>
      <c r="Y84" s="6"/>
      <c r="Z84" s="6"/>
      <c r="AA84" s="7"/>
      <c r="AB84" s="9" t="str">
        <f aca="false">IF(N84="","",MAX(0,N84-AA84))</f>
        <v/>
      </c>
      <c r="AC84" s="10" t="str">
        <f aca="false">IF(N84="","",IF(N84=0,0,AA84/N84))</f>
        <v/>
      </c>
      <c r="AD84" s="8"/>
      <c r="AE84" s="6"/>
      <c r="AF84" s="6"/>
      <c r="AG84" s="6"/>
      <c r="AH84" s="6"/>
      <c r="AI84" s="2" t="str">
        <f aca="false">IF(A84="","",IF(V84="Yes",IF(U84="Yes",1,2),""))</f>
        <v/>
      </c>
      <c r="AJ84" s="8"/>
      <c r="AK84" s="2" t="str">
        <f aca="false">IF(A84="","",IF(AJ84="","",COUNTIFS($E$2:$E$201,E84,$AI$2:$AI$201,AI84,$AJ$2:$AJ$201,"&lt;="&amp;AJ84)))</f>
        <v/>
      </c>
      <c r="AL84" s="2" t="str">
        <f aca="false">IF(A84="","",IF(AH84&lt;&gt;"Confirmado","No",IF(AG84="CO/SO₂ simultáneos",IF(OR(COUNTIFS($E$2:$E$201,E84,$AH$2:$AH$201,"Confirmado",$AG$2:$AG$201,"CO/SO₂ simultáneos")=3,SUMIFS($J$2:$J$201,$E$2:$E$201,E84,$AH$2:$AH$201,"Confirmado",$AG$2:$AG$201,"CO/SO₂ simultáneos")=6),"Sí","No"),IF(OR(AND(F84&gt;0,SUMIFS($F$2:$F$201,$E$2:$E$201,E84,$AH$2:$AH$201,"Confirmado")=4),AND(G84&gt;0,SUMIFS($G$2:$G$201,$E$2:$E$201,E84,$AH$2:$AH$201,"Confirmado")=4),AND(H84&gt;0,SUMIFS($H$2:$H$201,$E$2:$E$201,E84,$AH$2:$AH$201,"Confirmado")=4),AND(I84&gt;0,SUMIFS($I$2:$I$201,$E$2:$E$201,E84,$AH$2:$AH$201,"Confirmado")=4)),"Sí","No"))))</f>
        <v/>
      </c>
      <c r="AM84" s="2" t="str">
        <f aca="false">IF(A84="","",IF(AH84&lt;&gt;"Confirmado","",IF(AG84="CO/SO₂ simultáneos",IF(OR(COUNTIFS($E$2:$E$201,E84,$AH$2:$AH$201,"Confirmado",$AG$2:$AG$201,"CO/SO₂ simultáneos")&gt;3,SUMIFS($J$2:$J$201,$E$2:$E$201,E84,$AH$2:$AH$201,"Confirmado",$AG$2:$AG$201,"CO/SO₂ simultáneos")&gt;6),"CAPACIDAD EXCEDIDA","OK"),IF(OR(SUMIFS($F$2:$F$201,$E$2:$E$201,E84,$AH$2:$AH$201,"Confirmado")&gt;4,SUMIFS($G$2:$G$201,$E$2:$E$201,E84,$AH$2:$AH$201,"Confirmado")&gt;4,SUMIFS($H$2:$H$201,$E$2:$E$201,E84,$AH$2:$AH$201,"Confirmado")&gt;4,SUMIFS($I$2:$I$201,$E$2:$E$201,E84,$AH$2:$AH$201,"Confirmado")&gt;4),"CAPACIDAD EXCEDIDA","OK"))))</f>
        <v/>
      </c>
      <c r="AN84" s="2" t="str">
        <f aca="true">IF(A84="","",IF(AND(AC84&lt;1,Q84&lt;TODAY(),AH84="Aceptado pendiente de pago/orden"),"PLAZO VENCIDO",IF(AND(AC84&lt;1,AD84&lt;&gt;"",AD84&lt;TODAY()),"VENCIDO","OK")))</f>
        <v/>
      </c>
      <c r="AO84" s="6"/>
      <c r="AP84" s="8"/>
      <c r="AQ84" s="6"/>
      <c r="AR84" s="6" t="s">
        <v>73</v>
      </c>
      <c r="AS84" s="6"/>
      <c r="AT84" s="6"/>
      <c r="AU84" s="6"/>
      <c r="AV84" s="6"/>
      <c r="AW84" s="8" t="str">
        <f aca="false">IF(AV84="","",AV84+60)</f>
        <v/>
      </c>
      <c r="AX84" s="11" t="str">
        <f aca="true">IF(A84="","",IF(AND(AV84&lt;&gt;"",AW84&lt;TODAY(),OR(AH84="Interés",AH84="Cotizado")),"Sí","No"))</f>
        <v/>
      </c>
      <c r="AY84" s="6"/>
      <c r="AZ84" s="6"/>
      <c r="BA84" s="6"/>
      <c r="BB84" s="6"/>
      <c r="BC84" s="4"/>
      <c r="BD84" s="12"/>
    </row>
    <row r="85" customFormat="false" ht="23.8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2" t="n">
        <f aca="false">SUM(F85:I85)</f>
        <v>0</v>
      </c>
      <c r="K85" s="6"/>
      <c r="L85" s="6"/>
      <c r="M85" s="7"/>
      <c r="N85" s="7"/>
      <c r="O85" s="8"/>
      <c r="P85" s="8"/>
      <c r="Q85" s="8"/>
      <c r="R85" s="8"/>
      <c r="S85" s="8"/>
      <c r="T85" s="6"/>
      <c r="U85" s="6"/>
      <c r="V85" s="6"/>
      <c r="W85" s="6"/>
      <c r="X85" s="8"/>
      <c r="Y85" s="6"/>
      <c r="Z85" s="6"/>
      <c r="AA85" s="7"/>
      <c r="AB85" s="9" t="str">
        <f aca="false">IF(N85="","",MAX(0,N85-AA85))</f>
        <v/>
      </c>
      <c r="AC85" s="10" t="str">
        <f aca="false">IF(N85="","",IF(N85=0,0,AA85/N85))</f>
        <v/>
      </c>
      <c r="AD85" s="8"/>
      <c r="AE85" s="6"/>
      <c r="AF85" s="6"/>
      <c r="AG85" s="6"/>
      <c r="AH85" s="6"/>
      <c r="AI85" s="2" t="str">
        <f aca="false">IF(A85="","",IF(V85="Yes",IF(U85="Yes",1,2),""))</f>
        <v/>
      </c>
      <c r="AJ85" s="8"/>
      <c r="AK85" s="2" t="str">
        <f aca="false">IF(A85="","",IF(AJ85="","",COUNTIFS($E$2:$E$201,E85,$AI$2:$AI$201,AI85,$AJ$2:$AJ$201,"&lt;="&amp;AJ85)))</f>
        <v/>
      </c>
      <c r="AL85" s="2" t="str">
        <f aca="false">IF(A85="","",IF(AH85&lt;&gt;"Confirmado","No",IF(AG85="CO/SO₂ simultáneos",IF(OR(COUNTIFS($E$2:$E$201,E85,$AH$2:$AH$201,"Confirmado",$AG$2:$AG$201,"CO/SO₂ simultáneos")=3,SUMIFS($J$2:$J$201,$E$2:$E$201,E85,$AH$2:$AH$201,"Confirmado",$AG$2:$AG$201,"CO/SO₂ simultáneos")=6),"Sí","No"),IF(OR(AND(F85&gt;0,SUMIFS($F$2:$F$201,$E$2:$E$201,E85,$AH$2:$AH$201,"Confirmado")=4),AND(G85&gt;0,SUMIFS($G$2:$G$201,$E$2:$E$201,E85,$AH$2:$AH$201,"Confirmado")=4),AND(H85&gt;0,SUMIFS($H$2:$H$201,$E$2:$E$201,E85,$AH$2:$AH$201,"Confirmado")=4),AND(I85&gt;0,SUMIFS($I$2:$I$201,$E$2:$E$201,E85,$AH$2:$AH$201,"Confirmado")=4)),"Sí","No"))))</f>
        <v/>
      </c>
      <c r="AM85" s="2" t="str">
        <f aca="false">IF(A85="","",IF(AH85&lt;&gt;"Confirmado","",IF(AG85="CO/SO₂ simultáneos",IF(OR(COUNTIFS($E$2:$E$201,E85,$AH$2:$AH$201,"Confirmado",$AG$2:$AG$201,"CO/SO₂ simultáneos")&gt;3,SUMIFS($J$2:$J$201,$E$2:$E$201,E85,$AH$2:$AH$201,"Confirmado",$AG$2:$AG$201,"CO/SO₂ simultáneos")&gt;6),"CAPACIDAD EXCEDIDA","OK"),IF(OR(SUMIFS($F$2:$F$201,$E$2:$E$201,E85,$AH$2:$AH$201,"Confirmado")&gt;4,SUMIFS($G$2:$G$201,$E$2:$E$201,E85,$AH$2:$AH$201,"Confirmado")&gt;4,SUMIFS($H$2:$H$201,$E$2:$E$201,E85,$AH$2:$AH$201,"Confirmado")&gt;4,SUMIFS($I$2:$I$201,$E$2:$E$201,E85,$AH$2:$AH$201,"Confirmado")&gt;4),"CAPACIDAD EXCEDIDA","OK"))))</f>
        <v/>
      </c>
      <c r="AN85" s="2" t="str">
        <f aca="true">IF(A85="","",IF(AND(AC85&lt;1,Q85&lt;TODAY(),AH85="Aceptado pendiente de pago/orden"),"PLAZO VENCIDO",IF(AND(AC85&lt;1,AD85&lt;&gt;"",AD85&lt;TODAY()),"VENCIDO","OK")))</f>
        <v/>
      </c>
      <c r="AO85" s="6"/>
      <c r="AP85" s="8"/>
      <c r="AQ85" s="6"/>
      <c r="AR85" s="6" t="s">
        <v>73</v>
      </c>
      <c r="AS85" s="6"/>
      <c r="AT85" s="6"/>
      <c r="AU85" s="6"/>
      <c r="AV85" s="6"/>
      <c r="AW85" s="8" t="str">
        <f aca="false">IF(AV85="","",AV85+60)</f>
        <v/>
      </c>
      <c r="AX85" s="11" t="str">
        <f aca="true">IF(A85="","",IF(AND(AV85&lt;&gt;"",AW85&lt;TODAY(),OR(AH85="Interés",AH85="Cotizado")),"Sí","No"))</f>
        <v/>
      </c>
      <c r="AY85" s="6"/>
      <c r="AZ85" s="6"/>
      <c r="BA85" s="6"/>
      <c r="BB85" s="6"/>
      <c r="BC85" s="4"/>
      <c r="BD85" s="12"/>
    </row>
    <row r="86" customFormat="false" ht="23.8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2" t="n">
        <f aca="false">SUM(F86:I86)</f>
        <v>0</v>
      </c>
      <c r="K86" s="6"/>
      <c r="L86" s="6"/>
      <c r="M86" s="7"/>
      <c r="N86" s="7"/>
      <c r="O86" s="8"/>
      <c r="P86" s="8"/>
      <c r="Q86" s="8"/>
      <c r="R86" s="8"/>
      <c r="S86" s="8"/>
      <c r="T86" s="6"/>
      <c r="U86" s="6"/>
      <c r="V86" s="6"/>
      <c r="W86" s="6"/>
      <c r="X86" s="8"/>
      <c r="Y86" s="6"/>
      <c r="Z86" s="6"/>
      <c r="AA86" s="7"/>
      <c r="AB86" s="9" t="str">
        <f aca="false">IF(N86="","",MAX(0,N86-AA86))</f>
        <v/>
      </c>
      <c r="AC86" s="10" t="str">
        <f aca="false">IF(N86="","",IF(N86=0,0,AA86/N86))</f>
        <v/>
      </c>
      <c r="AD86" s="8"/>
      <c r="AE86" s="6"/>
      <c r="AF86" s="6"/>
      <c r="AG86" s="6"/>
      <c r="AH86" s="6"/>
      <c r="AI86" s="2" t="str">
        <f aca="false">IF(A86="","",IF(V86="Yes",IF(U86="Yes",1,2),""))</f>
        <v/>
      </c>
      <c r="AJ86" s="8"/>
      <c r="AK86" s="2" t="str">
        <f aca="false">IF(A86="","",IF(AJ86="","",COUNTIFS($E$2:$E$201,E86,$AI$2:$AI$201,AI86,$AJ$2:$AJ$201,"&lt;="&amp;AJ86)))</f>
        <v/>
      </c>
      <c r="AL86" s="2" t="str">
        <f aca="false">IF(A86="","",IF(AH86&lt;&gt;"Confirmado","No",IF(AG86="CO/SO₂ simultáneos",IF(OR(COUNTIFS($E$2:$E$201,E86,$AH$2:$AH$201,"Confirmado",$AG$2:$AG$201,"CO/SO₂ simultáneos")=3,SUMIFS($J$2:$J$201,$E$2:$E$201,E86,$AH$2:$AH$201,"Confirmado",$AG$2:$AG$201,"CO/SO₂ simultáneos")=6),"Sí","No"),IF(OR(AND(F86&gt;0,SUMIFS($F$2:$F$201,$E$2:$E$201,E86,$AH$2:$AH$201,"Confirmado")=4),AND(G86&gt;0,SUMIFS($G$2:$G$201,$E$2:$E$201,E86,$AH$2:$AH$201,"Confirmado")=4),AND(H86&gt;0,SUMIFS($H$2:$H$201,$E$2:$E$201,E86,$AH$2:$AH$201,"Confirmado")=4),AND(I86&gt;0,SUMIFS($I$2:$I$201,$E$2:$E$201,E86,$AH$2:$AH$201,"Confirmado")=4)),"Sí","No"))))</f>
        <v/>
      </c>
      <c r="AM86" s="2" t="str">
        <f aca="false">IF(A86="","",IF(AH86&lt;&gt;"Confirmado","",IF(AG86="CO/SO₂ simultáneos",IF(OR(COUNTIFS($E$2:$E$201,E86,$AH$2:$AH$201,"Confirmado",$AG$2:$AG$201,"CO/SO₂ simultáneos")&gt;3,SUMIFS($J$2:$J$201,$E$2:$E$201,E86,$AH$2:$AH$201,"Confirmado",$AG$2:$AG$201,"CO/SO₂ simultáneos")&gt;6),"CAPACIDAD EXCEDIDA","OK"),IF(OR(SUMIFS($F$2:$F$201,$E$2:$E$201,E86,$AH$2:$AH$201,"Confirmado")&gt;4,SUMIFS($G$2:$G$201,$E$2:$E$201,E86,$AH$2:$AH$201,"Confirmado")&gt;4,SUMIFS($H$2:$H$201,$E$2:$E$201,E86,$AH$2:$AH$201,"Confirmado")&gt;4,SUMIFS($I$2:$I$201,$E$2:$E$201,E86,$AH$2:$AH$201,"Confirmado")&gt;4),"CAPACIDAD EXCEDIDA","OK"))))</f>
        <v/>
      </c>
      <c r="AN86" s="2" t="str">
        <f aca="true">IF(A86="","",IF(AND(AC86&lt;1,Q86&lt;TODAY(),AH86="Aceptado pendiente de pago/orden"),"PLAZO VENCIDO",IF(AND(AC86&lt;1,AD86&lt;&gt;"",AD86&lt;TODAY()),"VENCIDO","OK")))</f>
        <v/>
      </c>
      <c r="AO86" s="6"/>
      <c r="AP86" s="8"/>
      <c r="AQ86" s="6"/>
      <c r="AR86" s="6" t="s">
        <v>73</v>
      </c>
      <c r="AS86" s="6"/>
      <c r="AT86" s="6"/>
      <c r="AU86" s="6"/>
      <c r="AV86" s="6"/>
      <c r="AW86" s="8" t="str">
        <f aca="false">IF(AV86="","",AV86+60)</f>
        <v/>
      </c>
      <c r="AX86" s="11" t="str">
        <f aca="true">IF(A86="","",IF(AND(AV86&lt;&gt;"",AW86&lt;TODAY(),OR(AH86="Interés",AH86="Cotizado")),"Sí","No"))</f>
        <v/>
      </c>
      <c r="AY86" s="6"/>
      <c r="AZ86" s="6"/>
      <c r="BA86" s="6"/>
      <c r="BB86" s="6"/>
      <c r="BC86" s="4"/>
      <c r="BD86" s="12"/>
    </row>
    <row r="87" customFormat="false" ht="23.8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2" t="n">
        <f aca="false">SUM(F87:I87)</f>
        <v>0</v>
      </c>
      <c r="K87" s="6"/>
      <c r="L87" s="6"/>
      <c r="M87" s="7"/>
      <c r="N87" s="7"/>
      <c r="O87" s="8"/>
      <c r="P87" s="8"/>
      <c r="Q87" s="8"/>
      <c r="R87" s="8"/>
      <c r="S87" s="8"/>
      <c r="T87" s="6"/>
      <c r="U87" s="6"/>
      <c r="V87" s="6"/>
      <c r="W87" s="6"/>
      <c r="X87" s="8"/>
      <c r="Y87" s="6"/>
      <c r="Z87" s="6"/>
      <c r="AA87" s="7"/>
      <c r="AB87" s="9" t="str">
        <f aca="false">IF(N87="","",MAX(0,N87-AA87))</f>
        <v/>
      </c>
      <c r="AC87" s="10" t="str">
        <f aca="false">IF(N87="","",IF(N87=0,0,AA87/N87))</f>
        <v/>
      </c>
      <c r="AD87" s="8"/>
      <c r="AE87" s="6"/>
      <c r="AF87" s="6"/>
      <c r="AG87" s="6"/>
      <c r="AH87" s="6"/>
      <c r="AI87" s="2" t="str">
        <f aca="false">IF(A87="","",IF(V87="Yes",IF(U87="Yes",1,2),""))</f>
        <v/>
      </c>
      <c r="AJ87" s="8"/>
      <c r="AK87" s="2" t="str">
        <f aca="false">IF(A87="","",IF(AJ87="","",COUNTIFS($E$2:$E$201,E87,$AI$2:$AI$201,AI87,$AJ$2:$AJ$201,"&lt;="&amp;AJ87)))</f>
        <v/>
      </c>
      <c r="AL87" s="2" t="str">
        <f aca="false">IF(A87="","",IF(AH87&lt;&gt;"Confirmado","No",IF(AG87="CO/SO₂ simultáneos",IF(OR(COUNTIFS($E$2:$E$201,E87,$AH$2:$AH$201,"Confirmado",$AG$2:$AG$201,"CO/SO₂ simultáneos")=3,SUMIFS($J$2:$J$201,$E$2:$E$201,E87,$AH$2:$AH$201,"Confirmado",$AG$2:$AG$201,"CO/SO₂ simultáneos")=6),"Sí","No"),IF(OR(AND(F87&gt;0,SUMIFS($F$2:$F$201,$E$2:$E$201,E87,$AH$2:$AH$201,"Confirmado")=4),AND(G87&gt;0,SUMIFS($G$2:$G$201,$E$2:$E$201,E87,$AH$2:$AH$201,"Confirmado")=4),AND(H87&gt;0,SUMIFS($H$2:$H$201,$E$2:$E$201,E87,$AH$2:$AH$201,"Confirmado")=4),AND(I87&gt;0,SUMIFS($I$2:$I$201,$E$2:$E$201,E87,$AH$2:$AH$201,"Confirmado")=4)),"Sí","No"))))</f>
        <v/>
      </c>
      <c r="AM87" s="2" t="str">
        <f aca="false">IF(A87="","",IF(AH87&lt;&gt;"Confirmado","",IF(AG87="CO/SO₂ simultáneos",IF(OR(COUNTIFS($E$2:$E$201,E87,$AH$2:$AH$201,"Confirmado",$AG$2:$AG$201,"CO/SO₂ simultáneos")&gt;3,SUMIFS($J$2:$J$201,$E$2:$E$201,E87,$AH$2:$AH$201,"Confirmado",$AG$2:$AG$201,"CO/SO₂ simultáneos")&gt;6),"CAPACIDAD EXCEDIDA","OK"),IF(OR(SUMIFS($F$2:$F$201,$E$2:$E$201,E87,$AH$2:$AH$201,"Confirmado")&gt;4,SUMIFS($G$2:$G$201,$E$2:$E$201,E87,$AH$2:$AH$201,"Confirmado")&gt;4,SUMIFS($H$2:$H$201,$E$2:$E$201,E87,$AH$2:$AH$201,"Confirmado")&gt;4,SUMIFS($I$2:$I$201,$E$2:$E$201,E87,$AH$2:$AH$201,"Confirmado")&gt;4),"CAPACIDAD EXCEDIDA","OK"))))</f>
        <v/>
      </c>
      <c r="AN87" s="2" t="str">
        <f aca="true">IF(A87="","",IF(AND(AC87&lt;1,Q87&lt;TODAY(),AH87="Aceptado pendiente de pago/orden"),"PLAZO VENCIDO",IF(AND(AC87&lt;1,AD87&lt;&gt;"",AD87&lt;TODAY()),"VENCIDO","OK")))</f>
        <v/>
      </c>
      <c r="AO87" s="6"/>
      <c r="AP87" s="8"/>
      <c r="AQ87" s="6"/>
      <c r="AR87" s="6" t="s">
        <v>73</v>
      </c>
      <c r="AS87" s="6"/>
      <c r="AT87" s="6"/>
      <c r="AU87" s="6"/>
      <c r="AV87" s="6"/>
      <c r="AW87" s="8" t="str">
        <f aca="false">IF(AV87="","",AV87+60)</f>
        <v/>
      </c>
      <c r="AX87" s="11" t="str">
        <f aca="true">IF(A87="","",IF(AND(AV87&lt;&gt;"",AW87&lt;TODAY(),OR(AH87="Interés",AH87="Cotizado")),"Sí","No"))</f>
        <v/>
      </c>
      <c r="AY87" s="6"/>
      <c r="AZ87" s="6"/>
      <c r="BA87" s="6"/>
      <c r="BB87" s="6"/>
      <c r="BC87" s="4"/>
      <c r="BD87" s="12"/>
    </row>
    <row r="88" customFormat="false" ht="23.8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2" t="n">
        <f aca="false">SUM(F88:I88)</f>
        <v>0</v>
      </c>
      <c r="K88" s="6"/>
      <c r="L88" s="6"/>
      <c r="M88" s="7"/>
      <c r="N88" s="7"/>
      <c r="O88" s="8"/>
      <c r="P88" s="8"/>
      <c r="Q88" s="8"/>
      <c r="R88" s="8"/>
      <c r="S88" s="8"/>
      <c r="T88" s="6"/>
      <c r="U88" s="6"/>
      <c r="V88" s="6"/>
      <c r="W88" s="6"/>
      <c r="X88" s="8"/>
      <c r="Y88" s="6"/>
      <c r="Z88" s="6"/>
      <c r="AA88" s="7"/>
      <c r="AB88" s="9" t="str">
        <f aca="false">IF(N88="","",MAX(0,N88-AA88))</f>
        <v/>
      </c>
      <c r="AC88" s="10" t="str">
        <f aca="false">IF(N88="","",IF(N88=0,0,AA88/N88))</f>
        <v/>
      </c>
      <c r="AD88" s="8"/>
      <c r="AE88" s="6"/>
      <c r="AF88" s="6"/>
      <c r="AG88" s="6"/>
      <c r="AH88" s="6"/>
      <c r="AI88" s="2" t="str">
        <f aca="false">IF(A88="","",IF(V88="Yes",IF(U88="Yes",1,2),""))</f>
        <v/>
      </c>
      <c r="AJ88" s="8"/>
      <c r="AK88" s="2" t="str">
        <f aca="false">IF(A88="","",IF(AJ88="","",COUNTIFS($E$2:$E$201,E88,$AI$2:$AI$201,AI88,$AJ$2:$AJ$201,"&lt;="&amp;AJ88)))</f>
        <v/>
      </c>
      <c r="AL88" s="2" t="str">
        <f aca="false">IF(A88="","",IF(AH88&lt;&gt;"Confirmado","No",IF(AG88="CO/SO₂ simultáneos",IF(OR(COUNTIFS($E$2:$E$201,E88,$AH$2:$AH$201,"Confirmado",$AG$2:$AG$201,"CO/SO₂ simultáneos")=3,SUMIFS($J$2:$J$201,$E$2:$E$201,E88,$AH$2:$AH$201,"Confirmado",$AG$2:$AG$201,"CO/SO₂ simultáneos")=6),"Sí","No"),IF(OR(AND(F88&gt;0,SUMIFS($F$2:$F$201,$E$2:$E$201,E88,$AH$2:$AH$201,"Confirmado")=4),AND(G88&gt;0,SUMIFS($G$2:$G$201,$E$2:$E$201,E88,$AH$2:$AH$201,"Confirmado")=4),AND(H88&gt;0,SUMIFS($H$2:$H$201,$E$2:$E$201,E88,$AH$2:$AH$201,"Confirmado")=4),AND(I88&gt;0,SUMIFS($I$2:$I$201,$E$2:$E$201,E88,$AH$2:$AH$201,"Confirmado")=4)),"Sí","No"))))</f>
        <v/>
      </c>
      <c r="AM88" s="2" t="str">
        <f aca="false">IF(A88="","",IF(AH88&lt;&gt;"Confirmado","",IF(AG88="CO/SO₂ simultáneos",IF(OR(COUNTIFS($E$2:$E$201,E88,$AH$2:$AH$201,"Confirmado",$AG$2:$AG$201,"CO/SO₂ simultáneos")&gt;3,SUMIFS($J$2:$J$201,$E$2:$E$201,E88,$AH$2:$AH$201,"Confirmado",$AG$2:$AG$201,"CO/SO₂ simultáneos")&gt;6),"CAPACIDAD EXCEDIDA","OK"),IF(OR(SUMIFS($F$2:$F$201,$E$2:$E$201,E88,$AH$2:$AH$201,"Confirmado")&gt;4,SUMIFS($G$2:$G$201,$E$2:$E$201,E88,$AH$2:$AH$201,"Confirmado")&gt;4,SUMIFS($H$2:$H$201,$E$2:$E$201,E88,$AH$2:$AH$201,"Confirmado")&gt;4,SUMIFS($I$2:$I$201,$E$2:$E$201,E88,$AH$2:$AH$201,"Confirmado")&gt;4),"CAPACIDAD EXCEDIDA","OK"))))</f>
        <v/>
      </c>
      <c r="AN88" s="2" t="str">
        <f aca="true">IF(A88="","",IF(AND(AC88&lt;1,Q88&lt;TODAY(),AH88="Aceptado pendiente de pago/orden"),"PLAZO VENCIDO",IF(AND(AC88&lt;1,AD88&lt;&gt;"",AD88&lt;TODAY()),"VENCIDO","OK")))</f>
        <v/>
      </c>
      <c r="AO88" s="6"/>
      <c r="AP88" s="8"/>
      <c r="AQ88" s="6"/>
      <c r="AR88" s="6" t="s">
        <v>73</v>
      </c>
      <c r="AS88" s="6"/>
      <c r="AT88" s="6"/>
      <c r="AU88" s="6"/>
      <c r="AV88" s="6"/>
      <c r="AW88" s="8" t="str">
        <f aca="false">IF(AV88="","",AV88+60)</f>
        <v/>
      </c>
      <c r="AX88" s="11" t="str">
        <f aca="true">IF(A88="","",IF(AND(AV88&lt;&gt;"",AW88&lt;TODAY(),OR(AH88="Interés",AH88="Cotizado")),"Sí","No"))</f>
        <v/>
      </c>
      <c r="AY88" s="6"/>
      <c r="AZ88" s="6"/>
      <c r="BA88" s="6"/>
      <c r="BB88" s="6"/>
      <c r="BC88" s="4"/>
      <c r="BD88" s="12"/>
    </row>
    <row r="89" customFormat="false" ht="23.8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2" t="n">
        <f aca="false">SUM(F89:I89)</f>
        <v>0</v>
      </c>
      <c r="K89" s="6"/>
      <c r="L89" s="6"/>
      <c r="M89" s="7"/>
      <c r="N89" s="7"/>
      <c r="O89" s="8"/>
      <c r="P89" s="8"/>
      <c r="Q89" s="8"/>
      <c r="R89" s="8"/>
      <c r="S89" s="8"/>
      <c r="T89" s="6"/>
      <c r="U89" s="6"/>
      <c r="V89" s="6"/>
      <c r="W89" s="6"/>
      <c r="X89" s="8"/>
      <c r="Y89" s="6"/>
      <c r="Z89" s="6"/>
      <c r="AA89" s="7"/>
      <c r="AB89" s="9" t="str">
        <f aca="false">IF(N89="","",MAX(0,N89-AA89))</f>
        <v/>
      </c>
      <c r="AC89" s="10" t="str">
        <f aca="false">IF(N89="","",IF(N89=0,0,AA89/N89))</f>
        <v/>
      </c>
      <c r="AD89" s="8"/>
      <c r="AE89" s="6"/>
      <c r="AF89" s="6"/>
      <c r="AG89" s="6"/>
      <c r="AH89" s="6"/>
      <c r="AI89" s="2" t="str">
        <f aca="false">IF(A89="","",IF(V89="Yes",IF(U89="Yes",1,2),""))</f>
        <v/>
      </c>
      <c r="AJ89" s="8"/>
      <c r="AK89" s="2" t="str">
        <f aca="false">IF(A89="","",IF(AJ89="","",COUNTIFS($E$2:$E$201,E89,$AI$2:$AI$201,AI89,$AJ$2:$AJ$201,"&lt;="&amp;AJ89)))</f>
        <v/>
      </c>
      <c r="AL89" s="2" t="str">
        <f aca="false">IF(A89="","",IF(AH89&lt;&gt;"Confirmado","No",IF(AG89="CO/SO₂ simultáneos",IF(OR(COUNTIFS($E$2:$E$201,E89,$AH$2:$AH$201,"Confirmado",$AG$2:$AG$201,"CO/SO₂ simultáneos")=3,SUMIFS($J$2:$J$201,$E$2:$E$201,E89,$AH$2:$AH$201,"Confirmado",$AG$2:$AG$201,"CO/SO₂ simultáneos")=6),"Sí","No"),IF(OR(AND(F89&gt;0,SUMIFS($F$2:$F$201,$E$2:$E$201,E89,$AH$2:$AH$201,"Confirmado")=4),AND(G89&gt;0,SUMIFS($G$2:$G$201,$E$2:$E$201,E89,$AH$2:$AH$201,"Confirmado")=4),AND(H89&gt;0,SUMIFS($H$2:$H$201,$E$2:$E$201,E89,$AH$2:$AH$201,"Confirmado")=4),AND(I89&gt;0,SUMIFS($I$2:$I$201,$E$2:$E$201,E89,$AH$2:$AH$201,"Confirmado")=4)),"Sí","No"))))</f>
        <v/>
      </c>
      <c r="AM89" s="2" t="str">
        <f aca="false">IF(A89="","",IF(AH89&lt;&gt;"Confirmado","",IF(AG89="CO/SO₂ simultáneos",IF(OR(COUNTIFS($E$2:$E$201,E89,$AH$2:$AH$201,"Confirmado",$AG$2:$AG$201,"CO/SO₂ simultáneos")&gt;3,SUMIFS($J$2:$J$201,$E$2:$E$201,E89,$AH$2:$AH$201,"Confirmado",$AG$2:$AG$201,"CO/SO₂ simultáneos")&gt;6),"CAPACIDAD EXCEDIDA","OK"),IF(OR(SUMIFS($F$2:$F$201,$E$2:$E$201,E89,$AH$2:$AH$201,"Confirmado")&gt;4,SUMIFS($G$2:$G$201,$E$2:$E$201,E89,$AH$2:$AH$201,"Confirmado")&gt;4,SUMIFS($H$2:$H$201,$E$2:$E$201,E89,$AH$2:$AH$201,"Confirmado")&gt;4,SUMIFS($I$2:$I$201,$E$2:$E$201,E89,$AH$2:$AH$201,"Confirmado")&gt;4),"CAPACIDAD EXCEDIDA","OK"))))</f>
        <v/>
      </c>
      <c r="AN89" s="2" t="str">
        <f aca="true">IF(A89="","",IF(AND(AC89&lt;1,Q89&lt;TODAY(),AH89="Aceptado pendiente de pago/orden"),"PLAZO VENCIDO",IF(AND(AC89&lt;1,AD89&lt;&gt;"",AD89&lt;TODAY()),"VENCIDO","OK")))</f>
        <v/>
      </c>
      <c r="AO89" s="6"/>
      <c r="AP89" s="8"/>
      <c r="AQ89" s="6"/>
      <c r="AR89" s="6" t="s">
        <v>73</v>
      </c>
      <c r="AS89" s="6"/>
      <c r="AT89" s="6"/>
      <c r="AU89" s="6"/>
      <c r="AV89" s="6"/>
      <c r="AW89" s="8" t="str">
        <f aca="false">IF(AV89="","",AV89+60)</f>
        <v/>
      </c>
      <c r="AX89" s="11" t="str">
        <f aca="true">IF(A89="","",IF(AND(AV89&lt;&gt;"",AW89&lt;TODAY(),OR(AH89="Interés",AH89="Cotizado")),"Sí","No"))</f>
        <v/>
      </c>
      <c r="AY89" s="6"/>
      <c r="AZ89" s="6"/>
      <c r="BA89" s="6"/>
      <c r="BB89" s="6"/>
      <c r="BC89" s="4"/>
      <c r="BD89" s="12"/>
    </row>
    <row r="90" customFormat="false" ht="23.8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2" t="n">
        <f aca="false">SUM(F90:I90)</f>
        <v>0</v>
      </c>
      <c r="K90" s="6"/>
      <c r="L90" s="6"/>
      <c r="M90" s="7"/>
      <c r="N90" s="7"/>
      <c r="O90" s="8"/>
      <c r="P90" s="8"/>
      <c r="Q90" s="8"/>
      <c r="R90" s="8"/>
      <c r="S90" s="8"/>
      <c r="T90" s="6"/>
      <c r="U90" s="6"/>
      <c r="V90" s="6"/>
      <c r="W90" s="6"/>
      <c r="X90" s="8"/>
      <c r="Y90" s="6"/>
      <c r="Z90" s="6"/>
      <c r="AA90" s="7"/>
      <c r="AB90" s="9" t="str">
        <f aca="false">IF(N90="","",MAX(0,N90-AA90))</f>
        <v/>
      </c>
      <c r="AC90" s="10" t="str">
        <f aca="false">IF(N90="","",IF(N90=0,0,AA90/N90))</f>
        <v/>
      </c>
      <c r="AD90" s="8"/>
      <c r="AE90" s="6"/>
      <c r="AF90" s="6"/>
      <c r="AG90" s="6"/>
      <c r="AH90" s="6"/>
      <c r="AI90" s="2" t="str">
        <f aca="false">IF(A90="","",IF(V90="Yes",IF(U90="Yes",1,2),""))</f>
        <v/>
      </c>
      <c r="AJ90" s="8"/>
      <c r="AK90" s="2" t="str">
        <f aca="false">IF(A90="","",IF(AJ90="","",COUNTIFS($E$2:$E$201,E90,$AI$2:$AI$201,AI90,$AJ$2:$AJ$201,"&lt;="&amp;AJ90)))</f>
        <v/>
      </c>
      <c r="AL90" s="2" t="str">
        <f aca="false">IF(A90="","",IF(AH90&lt;&gt;"Confirmado","No",IF(AG90="CO/SO₂ simultáneos",IF(OR(COUNTIFS($E$2:$E$201,E90,$AH$2:$AH$201,"Confirmado",$AG$2:$AG$201,"CO/SO₂ simultáneos")=3,SUMIFS($J$2:$J$201,$E$2:$E$201,E90,$AH$2:$AH$201,"Confirmado",$AG$2:$AG$201,"CO/SO₂ simultáneos")=6),"Sí","No"),IF(OR(AND(F90&gt;0,SUMIFS($F$2:$F$201,$E$2:$E$201,E90,$AH$2:$AH$201,"Confirmado")=4),AND(G90&gt;0,SUMIFS($G$2:$G$201,$E$2:$E$201,E90,$AH$2:$AH$201,"Confirmado")=4),AND(H90&gt;0,SUMIFS($H$2:$H$201,$E$2:$E$201,E90,$AH$2:$AH$201,"Confirmado")=4),AND(I90&gt;0,SUMIFS($I$2:$I$201,$E$2:$E$201,E90,$AH$2:$AH$201,"Confirmado")=4)),"Sí","No"))))</f>
        <v/>
      </c>
      <c r="AM90" s="2" t="str">
        <f aca="false">IF(A90="","",IF(AH90&lt;&gt;"Confirmado","",IF(AG90="CO/SO₂ simultáneos",IF(OR(COUNTIFS($E$2:$E$201,E90,$AH$2:$AH$201,"Confirmado",$AG$2:$AG$201,"CO/SO₂ simultáneos")&gt;3,SUMIFS($J$2:$J$201,$E$2:$E$201,E90,$AH$2:$AH$201,"Confirmado",$AG$2:$AG$201,"CO/SO₂ simultáneos")&gt;6),"CAPACIDAD EXCEDIDA","OK"),IF(OR(SUMIFS($F$2:$F$201,$E$2:$E$201,E90,$AH$2:$AH$201,"Confirmado")&gt;4,SUMIFS($G$2:$G$201,$E$2:$E$201,E90,$AH$2:$AH$201,"Confirmado")&gt;4,SUMIFS($H$2:$H$201,$E$2:$E$201,E90,$AH$2:$AH$201,"Confirmado")&gt;4,SUMIFS($I$2:$I$201,$E$2:$E$201,E90,$AH$2:$AH$201,"Confirmado")&gt;4),"CAPACIDAD EXCEDIDA","OK"))))</f>
        <v/>
      </c>
      <c r="AN90" s="2" t="str">
        <f aca="true">IF(A90="","",IF(AND(AC90&lt;1,Q90&lt;TODAY(),AH90="Aceptado pendiente de pago/orden"),"PLAZO VENCIDO",IF(AND(AC90&lt;1,AD90&lt;&gt;"",AD90&lt;TODAY()),"VENCIDO","OK")))</f>
        <v/>
      </c>
      <c r="AO90" s="6"/>
      <c r="AP90" s="8"/>
      <c r="AQ90" s="6"/>
      <c r="AR90" s="6" t="s">
        <v>73</v>
      </c>
      <c r="AS90" s="6"/>
      <c r="AT90" s="6"/>
      <c r="AU90" s="6"/>
      <c r="AV90" s="6"/>
      <c r="AW90" s="8" t="str">
        <f aca="false">IF(AV90="","",AV90+60)</f>
        <v/>
      </c>
      <c r="AX90" s="11" t="str">
        <f aca="true">IF(A90="","",IF(AND(AV90&lt;&gt;"",AW90&lt;TODAY(),OR(AH90="Interés",AH90="Cotizado")),"Sí","No"))</f>
        <v/>
      </c>
      <c r="AY90" s="6"/>
      <c r="AZ90" s="6"/>
      <c r="BA90" s="6"/>
      <c r="BB90" s="6"/>
      <c r="BC90" s="4"/>
      <c r="BD90" s="12"/>
    </row>
    <row r="91" customFormat="false" ht="23.8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2" t="n">
        <f aca="false">SUM(F91:I91)</f>
        <v>0</v>
      </c>
      <c r="K91" s="6"/>
      <c r="L91" s="6"/>
      <c r="M91" s="7"/>
      <c r="N91" s="7"/>
      <c r="O91" s="8"/>
      <c r="P91" s="8"/>
      <c r="Q91" s="8"/>
      <c r="R91" s="8"/>
      <c r="S91" s="8"/>
      <c r="T91" s="6"/>
      <c r="U91" s="6"/>
      <c r="V91" s="6"/>
      <c r="W91" s="6"/>
      <c r="X91" s="8"/>
      <c r="Y91" s="6"/>
      <c r="Z91" s="6"/>
      <c r="AA91" s="7"/>
      <c r="AB91" s="9" t="str">
        <f aca="false">IF(N91="","",MAX(0,N91-AA91))</f>
        <v/>
      </c>
      <c r="AC91" s="10" t="str">
        <f aca="false">IF(N91="","",IF(N91=0,0,AA91/N91))</f>
        <v/>
      </c>
      <c r="AD91" s="8"/>
      <c r="AE91" s="6"/>
      <c r="AF91" s="6"/>
      <c r="AG91" s="6"/>
      <c r="AH91" s="6"/>
      <c r="AI91" s="2" t="str">
        <f aca="false">IF(A91="","",IF(V91="Yes",IF(U91="Yes",1,2),""))</f>
        <v/>
      </c>
      <c r="AJ91" s="8"/>
      <c r="AK91" s="2" t="str">
        <f aca="false">IF(A91="","",IF(AJ91="","",COUNTIFS($E$2:$E$201,E91,$AI$2:$AI$201,AI91,$AJ$2:$AJ$201,"&lt;="&amp;AJ91)))</f>
        <v/>
      </c>
      <c r="AL91" s="2" t="str">
        <f aca="false">IF(A91="","",IF(AH91&lt;&gt;"Confirmado","No",IF(AG91="CO/SO₂ simultáneos",IF(OR(COUNTIFS($E$2:$E$201,E91,$AH$2:$AH$201,"Confirmado",$AG$2:$AG$201,"CO/SO₂ simultáneos")=3,SUMIFS($J$2:$J$201,$E$2:$E$201,E91,$AH$2:$AH$201,"Confirmado",$AG$2:$AG$201,"CO/SO₂ simultáneos")=6),"Sí","No"),IF(OR(AND(F91&gt;0,SUMIFS($F$2:$F$201,$E$2:$E$201,E91,$AH$2:$AH$201,"Confirmado")=4),AND(G91&gt;0,SUMIFS($G$2:$G$201,$E$2:$E$201,E91,$AH$2:$AH$201,"Confirmado")=4),AND(H91&gt;0,SUMIFS($H$2:$H$201,$E$2:$E$201,E91,$AH$2:$AH$201,"Confirmado")=4),AND(I91&gt;0,SUMIFS($I$2:$I$201,$E$2:$E$201,E91,$AH$2:$AH$201,"Confirmado")=4)),"Sí","No"))))</f>
        <v/>
      </c>
      <c r="AM91" s="2" t="str">
        <f aca="false">IF(A91="","",IF(AH91&lt;&gt;"Confirmado","",IF(AG91="CO/SO₂ simultáneos",IF(OR(COUNTIFS($E$2:$E$201,E91,$AH$2:$AH$201,"Confirmado",$AG$2:$AG$201,"CO/SO₂ simultáneos")&gt;3,SUMIFS($J$2:$J$201,$E$2:$E$201,E91,$AH$2:$AH$201,"Confirmado",$AG$2:$AG$201,"CO/SO₂ simultáneos")&gt;6),"CAPACIDAD EXCEDIDA","OK"),IF(OR(SUMIFS($F$2:$F$201,$E$2:$E$201,E91,$AH$2:$AH$201,"Confirmado")&gt;4,SUMIFS($G$2:$G$201,$E$2:$E$201,E91,$AH$2:$AH$201,"Confirmado")&gt;4,SUMIFS($H$2:$H$201,$E$2:$E$201,E91,$AH$2:$AH$201,"Confirmado")&gt;4,SUMIFS($I$2:$I$201,$E$2:$E$201,E91,$AH$2:$AH$201,"Confirmado")&gt;4),"CAPACIDAD EXCEDIDA","OK"))))</f>
        <v/>
      </c>
      <c r="AN91" s="2" t="str">
        <f aca="true">IF(A91="","",IF(AND(AC91&lt;1,Q91&lt;TODAY(),AH91="Aceptado pendiente de pago/orden"),"PLAZO VENCIDO",IF(AND(AC91&lt;1,AD91&lt;&gt;"",AD91&lt;TODAY()),"VENCIDO","OK")))</f>
        <v/>
      </c>
      <c r="AO91" s="6"/>
      <c r="AP91" s="8"/>
      <c r="AQ91" s="6"/>
      <c r="AR91" s="6" t="s">
        <v>73</v>
      </c>
      <c r="AS91" s="6"/>
      <c r="AT91" s="6"/>
      <c r="AU91" s="6"/>
      <c r="AV91" s="6"/>
      <c r="AW91" s="8" t="str">
        <f aca="false">IF(AV91="","",AV91+60)</f>
        <v/>
      </c>
      <c r="AX91" s="11" t="str">
        <f aca="true">IF(A91="","",IF(AND(AV91&lt;&gt;"",AW91&lt;TODAY(),OR(AH91="Interés",AH91="Cotizado")),"Sí","No"))</f>
        <v/>
      </c>
      <c r="AY91" s="6"/>
      <c r="AZ91" s="6"/>
      <c r="BA91" s="6"/>
      <c r="BB91" s="6"/>
      <c r="BC91" s="4"/>
      <c r="BD91" s="12"/>
    </row>
    <row r="92" customFormat="false" ht="23.8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2" t="n">
        <f aca="false">SUM(F92:I92)</f>
        <v>0</v>
      </c>
      <c r="K92" s="6"/>
      <c r="L92" s="6"/>
      <c r="M92" s="7"/>
      <c r="N92" s="7"/>
      <c r="O92" s="8"/>
      <c r="P92" s="8"/>
      <c r="Q92" s="8"/>
      <c r="R92" s="8"/>
      <c r="S92" s="8"/>
      <c r="T92" s="6"/>
      <c r="U92" s="6"/>
      <c r="V92" s="6"/>
      <c r="W92" s="6"/>
      <c r="X92" s="8"/>
      <c r="Y92" s="6"/>
      <c r="Z92" s="6"/>
      <c r="AA92" s="7"/>
      <c r="AB92" s="9" t="str">
        <f aca="false">IF(N92="","",MAX(0,N92-AA92))</f>
        <v/>
      </c>
      <c r="AC92" s="10" t="str">
        <f aca="false">IF(N92="","",IF(N92=0,0,AA92/N92))</f>
        <v/>
      </c>
      <c r="AD92" s="8"/>
      <c r="AE92" s="6"/>
      <c r="AF92" s="6"/>
      <c r="AG92" s="6"/>
      <c r="AH92" s="6"/>
      <c r="AI92" s="2" t="str">
        <f aca="false">IF(A92="","",IF(V92="Yes",IF(U92="Yes",1,2),""))</f>
        <v/>
      </c>
      <c r="AJ92" s="8"/>
      <c r="AK92" s="2" t="str">
        <f aca="false">IF(A92="","",IF(AJ92="","",COUNTIFS($E$2:$E$201,E92,$AI$2:$AI$201,AI92,$AJ$2:$AJ$201,"&lt;="&amp;AJ92)))</f>
        <v/>
      </c>
      <c r="AL92" s="2" t="str">
        <f aca="false">IF(A92="","",IF(AH92&lt;&gt;"Confirmado","No",IF(AG92="CO/SO₂ simultáneos",IF(OR(COUNTIFS($E$2:$E$201,E92,$AH$2:$AH$201,"Confirmado",$AG$2:$AG$201,"CO/SO₂ simultáneos")=3,SUMIFS($J$2:$J$201,$E$2:$E$201,E92,$AH$2:$AH$201,"Confirmado",$AG$2:$AG$201,"CO/SO₂ simultáneos")=6),"Sí","No"),IF(OR(AND(F92&gt;0,SUMIFS($F$2:$F$201,$E$2:$E$201,E92,$AH$2:$AH$201,"Confirmado")=4),AND(G92&gt;0,SUMIFS($G$2:$G$201,$E$2:$E$201,E92,$AH$2:$AH$201,"Confirmado")=4),AND(H92&gt;0,SUMIFS($H$2:$H$201,$E$2:$E$201,E92,$AH$2:$AH$201,"Confirmado")=4),AND(I92&gt;0,SUMIFS($I$2:$I$201,$E$2:$E$201,E92,$AH$2:$AH$201,"Confirmado")=4)),"Sí","No"))))</f>
        <v/>
      </c>
      <c r="AM92" s="2" t="str">
        <f aca="false">IF(A92="","",IF(AH92&lt;&gt;"Confirmado","",IF(AG92="CO/SO₂ simultáneos",IF(OR(COUNTIFS($E$2:$E$201,E92,$AH$2:$AH$201,"Confirmado",$AG$2:$AG$201,"CO/SO₂ simultáneos")&gt;3,SUMIFS($J$2:$J$201,$E$2:$E$201,E92,$AH$2:$AH$201,"Confirmado",$AG$2:$AG$201,"CO/SO₂ simultáneos")&gt;6),"CAPACIDAD EXCEDIDA","OK"),IF(OR(SUMIFS($F$2:$F$201,$E$2:$E$201,E92,$AH$2:$AH$201,"Confirmado")&gt;4,SUMIFS($G$2:$G$201,$E$2:$E$201,E92,$AH$2:$AH$201,"Confirmado")&gt;4,SUMIFS($H$2:$H$201,$E$2:$E$201,E92,$AH$2:$AH$201,"Confirmado")&gt;4,SUMIFS($I$2:$I$201,$E$2:$E$201,E92,$AH$2:$AH$201,"Confirmado")&gt;4),"CAPACIDAD EXCEDIDA","OK"))))</f>
        <v/>
      </c>
      <c r="AN92" s="2" t="str">
        <f aca="true">IF(A92="","",IF(AND(AC92&lt;1,Q92&lt;TODAY(),AH92="Aceptado pendiente de pago/orden"),"PLAZO VENCIDO",IF(AND(AC92&lt;1,AD92&lt;&gt;"",AD92&lt;TODAY()),"VENCIDO","OK")))</f>
        <v/>
      </c>
      <c r="AO92" s="6"/>
      <c r="AP92" s="8"/>
      <c r="AQ92" s="6"/>
      <c r="AR92" s="6" t="s">
        <v>73</v>
      </c>
      <c r="AS92" s="6"/>
      <c r="AT92" s="6"/>
      <c r="AU92" s="6"/>
      <c r="AV92" s="6"/>
      <c r="AW92" s="8" t="str">
        <f aca="false">IF(AV92="","",AV92+60)</f>
        <v/>
      </c>
      <c r="AX92" s="11" t="str">
        <f aca="true">IF(A92="","",IF(AND(AV92&lt;&gt;"",AW92&lt;TODAY(),OR(AH92="Interés",AH92="Cotizado")),"Sí","No"))</f>
        <v/>
      </c>
      <c r="AY92" s="6"/>
      <c r="AZ92" s="6"/>
      <c r="BA92" s="6"/>
      <c r="BB92" s="6"/>
      <c r="BC92" s="4"/>
      <c r="BD92" s="12"/>
    </row>
    <row r="93" customFormat="false" ht="23.8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2" t="n">
        <f aca="false">SUM(F93:I93)</f>
        <v>0</v>
      </c>
      <c r="K93" s="6"/>
      <c r="L93" s="6"/>
      <c r="M93" s="7"/>
      <c r="N93" s="7"/>
      <c r="O93" s="8"/>
      <c r="P93" s="8"/>
      <c r="Q93" s="8"/>
      <c r="R93" s="8"/>
      <c r="S93" s="8"/>
      <c r="T93" s="6"/>
      <c r="U93" s="6"/>
      <c r="V93" s="6"/>
      <c r="W93" s="6"/>
      <c r="X93" s="8"/>
      <c r="Y93" s="6"/>
      <c r="Z93" s="6"/>
      <c r="AA93" s="7"/>
      <c r="AB93" s="9" t="str">
        <f aca="false">IF(N93="","",MAX(0,N93-AA93))</f>
        <v/>
      </c>
      <c r="AC93" s="10" t="str">
        <f aca="false">IF(N93="","",IF(N93=0,0,AA93/N93))</f>
        <v/>
      </c>
      <c r="AD93" s="8"/>
      <c r="AE93" s="6"/>
      <c r="AF93" s="6"/>
      <c r="AG93" s="6"/>
      <c r="AH93" s="6"/>
      <c r="AI93" s="2" t="str">
        <f aca="false">IF(A93="","",IF(V93="Yes",IF(U93="Yes",1,2),""))</f>
        <v/>
      </c>
      <c r="AJ93" s="8"/>
      <c r="AK93" s="2" t="str">
        <f aca="false">IF(A93="","",IF(AJ93="","",COUNTIFS($E$2:$E$201,E93,$AI$2:$AI$201,AI93,$AJ$2:$AJ$201,"&lt;="&amp;AJ93)))</f>
        <v/>
      </c>
      <c r="AL93" s="2" t="str">
        <f aca="false">IF(A93="","",IF(AH93&lt;&gt;"Confirmado","No",IF(AG93="CO/SO₂ simultáneos",IF(OR(COUNTIFS($E$2:$E$201,E93,$AH$2:$AH$201,"Confirmado",$AG$2:$AG$201,"CO/SO₂ simultáneos")=3,SUMIFS($J$2:$J$201,$E$2:$E$201,E93,$AH$2:$AH$201,"Confirmado",$AG$2:$AG$201,"CO/SO₂ simultáneos")=6),"Sí","No"),IF(OR(AND(F93&gt;0,SUMIFS($F$2:$F$201,$E$2:$E$201,E93,$AH$2:$AH$201,"Confirmado")=4),AND(G93&gt;0,SUMIFS($G$2:$G$201,$E$2:$E$201,E93,$AH$2:$AH$201,"Confirmado")=4),AND(H93&gt;0,SUMIFS($H$2:$H$201,$E$2:$E$201,E93,$AH$2:$AH$201,"Confirmado")=4),AND(I93&gt;0,SUMIFS($I$2:$I$201,$E$2:$E$201,E93,$AH$2:$AH$201,"Confirmado")=4)),"Sí","No"))))</f>
        <v/>
      </c>
      <c r="AM93" s="2" t="str">
        <f aca="false">IF(A93="","",IF(AH93&lt;&gt;"Confirmado","",IF(AG93="CO/SO₂ simultáneos",IF(OR(COUNTIFS($E$2:$E$201,E93,$AH$2:$AH$201,"Confirmado",$AG$2:$AG$201,"CO/SO₂ simultáneos")&gt;3,SUMIFS($J$2:$J$201,$E$2:$E$201,E93,$AH$2:$AH$201,"Confirmado",$AG$2:$AG$201,"CO/SO₂ simultáneos")&gt;6),"CAPACIDAD EXCEDIDA","OK"),IF(OR(SUMIFS($F$2:$F$201,$E$2:$E$201,E93,$AH$2:$AH$201,"Confirmado")&gt;4,SUMIFS($G$2:$G$201,$E$2:$E$201,E93,$AH$2:$AH$201,"Confirmado")&gt;4,SUMIFS($H$2:$H$201,$E$2:$E$201,E93,$AH$2:$AH$201,"Confirmado")&gt;4,SUMIFS($I$2:$I$201,$E$2:$E$201,E93,$AH$2:$AH$201,"Confirmado")&gt;4),"CAPACIDAD EXCEDIDA","OK"))))</f>
        <v/>
      </c>
      <c r="AN93" s="2" t="str">
        <f aca="true">IF(A93="","",IF(AND(AC93&lt;1,Q93&lt;TODAY(),AH93="Aceptado pendiente de pago/orden"),"PLAZO VENCIDO",IF(AND(AC93&lt;1,AD93&lt;&gt;"",AD93&lt;TODAY()),"VENCIDO","OK")))</f>
        <v/>
      </c>
      <c r="AO93" s="6"/>
      <c r="AP93" s="8"/>
      <c r="AQ93" s="6"/>
      <c r="AR93" s="6" t="s">
        <v>73</v>
      </c>
      <c r="AS93" s="6"/>
      <c r="AT93" s="6"/>
      <c r="AU93" s="6"/>
      <c r="AV93" s="6"/>
      <c r="AW93" s="8" t="str">
        <f aca="false">IF(AV93="","",AV93+60)</f>
        <v/>
      </c>
      <c r="AX93" s="11" t="str">
        <f aca="true">IF(A93="","",IF(AND(AV93&lt;&gt;"",AW93&lt;TODAY(),OR(AH93="Interés",AH93="Cotizado")),"Sí","No"))</f>
        <v/>
      </c>
      <c r="AY93" s="6"/>
      <c r="AZ93" s="6"/>
      <c r="BA93" s="6"/>
      <c r="BB93" s="6"/>
      <c r="BC93" s="4"/>
      <c r="BD93" s="12"/>
    </row>
    <row r="94" customFormat="false" ht="23.8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2" t="n">
        <f aca="false">SUM(F94:I94)</f>
        <v>0</v>
      </c>
      <c r="K94" s="6"/>
      <c r="L94" s="6"/>
      <c r="M94" s="7"/>
      <c r="N94" s="7"/>
      <c r="O94" s="8"/>
      <c r="P94" s="8"/>
      <c r="Q94" s="8"/>
      <c r="R94" s="8"/>
      <c r="S94" s="8"/>
      <c r="T94" s="6"/>
      <c r="U94" s="6"/>
      <c r="V94" s="6"/>
      <c r="W94" s="6"/>
      <c r="X94" s="8"/>
      <c r="Y94" s="6"/>
      <c r="Z94" s="6"/>
      <c r="AA94" s="7"/>
      <c r="AB94" s="9" t="str">
        <f aca="false">IF(N94="","",MAX(0,N94-AA94))</f>
        <v/>
      </c>
      <c r="AC94" s="10" t="str">
        <f aca="false">IF(N94="","",IF(N94=0,0,AA94/N94))</f>
        <v/>
      </c>
      <c r="AD94" s="8"/>
      <c r="AE94" s="6"/>
      <c r="AF94" s="6"/>
      <c r="AG94" s="6"/>
      <c r="AH94" s="6"/>
      <c r="AI94" s="2" t="str">
        <f aca="false">IF(A94="","",IF(V94="Yes",IF(U94="Yes",1,2),""))</f>
        <v/>
      </c>
      <c r="AJ94" s="8"/>
      <c r="AK94" s="2" t="str">
        <f aca="false">IF(A94="","",IF(AJ94="","",COUNTIFS($E$2:$E$201,E94,$AI$2:$AI$201,AI94,$AJ$2:$AJ$201,"&lt;="&amp;AJ94)))</f>
        <v/>
      </c>
      <c r="AL94" s="2" t="str">
        <f aca="false">IF(A94="","",IF(AH94&lt;&gt;"Confirmado","No",IF(AG94="CO/SO₂ simultáneos",IF(OR(COUNTIFS($E$2:$E$201,E94,$AH$2:$AH$201,"Confirmado",$AG$2:$AG$201,"CO/SO₂ simultáneos")=3,SUMIFS($J$2:$J$201,$E$2:$E$201,E94,$AH$2:$AH$201,"Confirmado",$AG$2:$AG$201,"CO/SO₂ simultáneos")=6),"Sí","No"),IF(OR(AND(F94&gt;0,SUMIFS($F$2:$F$201,$E$2:$E$201,E94,$AH$2:$AH$201,"Confirmado")=4),AND(G94&gt;0,SUMIFS($G$2:$G$201,$E$2:$E$201,E94,$AH$2:$AH$201,"Confirmado")=4),AND(H94&gt;0,SUMIFS($H$2:$H$201,$E$2:$E$201,E94,$AH$2:$AH$201,"Confirmado")=4),AND(I94&gt;0,SUMIFS($I$2:$I$201,$E$2:$E$201,E94,$AH$2:$AH$201,"Confirmado")=4)),"Sí","No"))))</f>
        <v/>
      </c>
      <c r="AM94" s="2" t="str">
        <f aca="false">IF(A94="","",IF(AH94&lt;&gt;"Confirmado","",IF(AG94="CO/SO₂ simultáneos",IF(OR(COUNTIFS($E$2:$E$201,E94,$AH$2:$AH$201,"Confirmado",$AG$2:$AG$201,"CO/SO₂ simultáneos")&gt;3,SUMIFS($J$2:$J$201,$E$2:$E$201,E94,$AH$2:$AH$201,"Confirmado",$AG$2:$AG$201,"CO/SO₂ simultáneos")&gt;6),"CAPACIDAD EXCEDIDA","OK"),IF(OR(SUMIFS($F$2:$F$201,$E$2:$E$201,E94,$AH$2:$AH$201,"Confirmado")&gt;4,SUMIFS($G$2:$G$201,$E$2:$E$201,E94,$AH$2:$AH$201,"Confirmado")&gt;4,SUMIFS($H$2:$H$201,$E$2:$E$201,E94,$AH$2:$AH$201,"Confirmado")&gt;4,SUMIFS($I$2:$I$201,$E$2:$E$201,E94,$AH$2:$AH$201,"Confirmado")&gt;4),"CAPACIDAD EXCEDIDA","OK"))))</f>
        <v/>
      </c>
      <c r="AN94" s="2" t="str">
        <f aca="true">IF(A94="","",IF(AND(AC94&lt;1,Q94&lt;TODAY(),AH94="Aceptado pendiente de pago/orden"),"PLAZO VENCIDO",IF(AND(AC94&lt;1,AD94&lt;&gt;"",AD94&lt;TODAY()),"VENCIDO","OK")))</f>
        <v/>
      </c>
      <c r="AO94" s="6"/>
      <c r="AP94" s="8"/>
      <c r="AQ94" s="6"/>
      <c r="AR94" s="6" t="s">
        <v>73</v>
      </c>
      <c r="AS94" s="6"/>
      <c r="AT94" s="6"/>
      <c r="AU94" s="6"/>
      <c r="AV94" s="6"/>
      <c r="AW94" s="8" t="str">
        <f aca="false">IF(AV94="","",AV94+60)</f>
        <v/>
      </c>
      <c r="AX94" s="11" t="str">
        <f aca="true">IF(A94="","",IF(AND(AV94&lt;&gt;"",AW94&lt;TODAY(),OR(AH94="Interés",AH94="Cotizado")),"Sí","No"))</f>
        <v/>
      </c>
      <c r="AY94" s="6"/>
      <c r="AZ94" s="6"/>
      <c r="BA94" s="6"/>
      <c r="BB94" s="6"/>
      <c r="BC94" s="4"/>
      <c r="BD94" s="12"/>
    </row>
    <row r="95" customFormat="false" ht="23.8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2" t="n">
        <f aca="false">SUM(F95:I95)</f>
        <v>0</v>
      </c>
      <c r="K95" s="6"/>
      <c r="L95" s="6"/>
      <c r="M95" s="7"/>
      <c r="N95" s="7"/>
      <c r="O95" s="8"/>
      <c r="P95" s="8"/>
      <c r="Q95" s="8"/>
      <c r="R95" s="8"/>
      <c r="S95" s="8"/>
      <c r="T95" s="6"/>
      <c r="U95" s="6"/>
      <c r="V95" s="6"/>
      <c r="W95" s="6"/>
      <c r="X95" s="8"/>
      <c r="Y95" s="6"/>
      <c r="Z95" s="6"/>
      <c r="AA95" s="7"/>
      <c r="AB95" s="9" t="str">
        <f aca="false">IF(N95="","",MAX(0,N95-AA95))</f>
        <v/>
      </c>
      <c r="AC95" s="10" t="str">
        <f aca="false">IF(N95="","",IF(N95=0,0,AA95/N95))</f>
        <v/>
      </c>
      <c r="AD95" s="8"/>
      <c r="AE95" s="6"/>
      <c r="AF95" s="6"/>
      <c r="AG95" s="6"/>
      <c r="AH95" s="6"/>
      <c r="AI95" s="2" t="str">
        <f aca="false">IF(A95="","",IF(V95="Yes",IF(U95="Yes",1,2),""))</f>
        <v/>
      </c>
      <c r="AJ95" s="8"/>
      <c r="AK95" s="2" t="str">
        <f aca="false">IF(A95="","",IF(AJ95="","",COUNTIFS($E$2:$E$201,E95,$AI$2:$AI$201,AI95,$AJ$2:$AJ$201,"&lt;="&amp;AJ95)))</f>
        <v/>
      </c>
      <c r="AL95" s="2" t="str">
        <f aca="false">IF(A95="","",IF(AH95&lt;&gt;"Confirmado","No",IF(AG95="CO/SO₂ simultáneos",IF(OR(COUNTIFS($E$2:$E$201,E95,$AH$2:$AH$201,"Confirmado",$AG$2:$AG$201,"CO/SO₂ simultáneos")=3,SUMIFS($J$2:$J$201,$E$2:$E$201,E95,$AH$2:$AH$201,"Confirmado",$AG$2:$AG$201,"CO/SO₂ simultáneos")=6),"Sí","No"),IF(OR(AND(F95&gt;0,SUMIFS($F$2:$F$201,$E$2:$E$201,E95,$AH$2:$AH$201,"Confirmado")=4),AND(G95&gt;0,SUMIFS($G$2:$G$201,$E$2:$E$201,E95,$AH$2:$AH$201,"Confirmado")=4),AND(H95&gt;0,SUMIFS($H$2:$H$201,$E$2:$E$201,E95,$AH$2:$AH$201,"Confirmado")=4),AND(I95&gt;0,SUMIFS($I$2:$I$201,$E$2:$E$201,E95,$AH$2:$AH$201,"Confirmado")=4)),"Sí","No"))))</f>
        <v/>
      </c>
      <c r="AM95" s="2" t="str">
        <f aca="false">IF(A95="","",IF(AH95&lt;&gt;"Confirmado","",IF(AG95="CO/SO₂ simultáneos",IF(OR(COUNTIFS($E$2:$E$201,E95,$AH$2:$AH$201,"Confirmado",$AG$2:$AG$201,"CO/SO₂ simultáneos")&gt;3,SUMIFS($J$2:$J$201,$E$2:$E$201,E95,$AH$2:$AH$201,"Confirmado",$AG$2:$AG$201,"CO/SO₂ simultáneos")&gt;6),"CAPACIDAD EXCEDIDA","OK"),IF(OR(SUMIFS($F$2:$F$201,$E$2:$E$201,E95,$AH$2:$AH$201,"Confirmado")&gt;4,SUMIFS($G$2:$G$201,$E$2:$E$201,E95,$AH$2:$AH$201,"Confirmado")&gt;4,SUMIFS($H$2:$H$201,$E$2:$E$201,E95,$AH$2:$AH$201,"Confirmado")&gt;4,SUMIFS($I$2:$I$201,$E$2:$E$201,E95,$AH$2:$AH$201,"Confirmado")&gt;4),"CAPACIDAD EXCEDIDA","OK"))))</f>
        <v/>
      </c>
      <c r="AN95" s="2" t="str">
        <f aca="true">IF(A95="","",IF(AND(AC95&lt;1,Q95&lt;TODAY(),AH95="Aceptado pendiente de pago/orden"),"PLAZO VENCIDO",IF(AND(AC95&lt;1,AD95&lt;&gt;"",AD95&lt;TODAY()),"VENCIDO","OK")))</f>
        <v/>
      </c>
      <c r="AO95" s="6"/>
      <c r="AP95" s="8"/>
      <c r="AQ95" s="6"/>
      <c r="AR95" s="6" t="s">
        <v>73</v>
      </c>
      <c r="AS95" s="6"/>
      <c r="AT95" s="6"/>
      <c r="AU95" s="6"/>
      <c r="AV95" s="6"/>
      <c r="AW95" s="8" t="str">
        <f aca="false">IF(AV95="","",AV95+60)</f>
        <v/>
      </c>
      <c r="AX95" s="11" t="str">
        <f aca="true">IF(A95="","",IF(AND(AV95&lt;&gt;"",AW95&lt;TODAY(),OR(AH95="Interés",AH95="Cotizado")),"Sí","No"))</f>
        <v/>
      </c>
      <c r="AY95" s="6"/>
      <c r="AZ95" s="6"/>
      <c r="BA95" s="6"/>
      <c r="BB95" s="6"/>
      <c r="BC95" s="4"/>
      <c r="BD95" s="12"/>
    </row>
    <row r="96" customFormat="false" ht="23.8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2" t="n">
        <f aca="false">SUM(F96:I96)</f>
        <v>0</v>
      </c>
      <c r="K96" s="6"/>
      <c r="L96" s="6"/>
      <c r="M96" s="7"/>
      <c r="N96" s="7"/>
      <c r="O96" s="8"/>
      <c r="P96" s="8"/>
      <c r="Q96" s="8"/>
      <c r="R96" s="8"/>
      <c r="S96" s="8"/>
      <c r="T96" s="6"/>
      <c r="U96" s="6"/>
      <c r="V96" s="6"/>
      <c r="W96" s="6"/>
      <c r="X96" s="8"/>
      <c r="Y96" s="6"/>
      <c r="Z96" s="6"/>
      <c r="AA96" s="7"/>
      <c r="AB96" s="9" t="str">
        <f aca="false">IF(N96="","",MAX(0,N96-AA96))</f>
        <v/>
      </c>
      <c r="AC96" s="10" t="str">
        <f aca="false">IF(N96="","",IF(N96=0,0,AA96/N96))</f>
        <v/>
      </c>
      <c r="AD96" s="8"/>
      <c r="AE96" s="6"/>
      <c r="AF96" s="6"/>
      <c r="AG96" s="6"/>
      <c r="AH96" s="6"/>
      <c r="AI96" s="2" t="str">
        <f aca="false">IF(A96="","",IF(V96="Yes",IF(U96="Yes",1,2),""))</f>
        <v/>
      </c>
      <c r="AJ96" s="8"/>
      <c r="AK96" s="2" t="str">
        <f aca="false">IF(A96="","",IF(AJ96="","",COUNTIFS($E$2:$E$201,E96,$AI$2:$AI$201,AI96,$AJ$2:$AJ$201,"&lt;="&amp;AJ96)))</f>
        <v/>
      </c>
      <c r="AL96" s="2" t="str">
        <f aca="false">IF(A96="","",IF(AH96&lt;&gt;"Confirmado","No",IF(AG96="CO/SO₂ simultáneos",IF(OR(COUNTIFS($E$2:$E$201,E96,$AH$2:$AH$201,"Confirmado",$AG$2:$AG$201,"CO/SO₂ simultáneos")=3,SUMIFS($J$2:$J$201,$E$2:$E$201,E96,$AH$2:$AH$201,"Confirmado",$AG$2:$AG$201,"CO/SO₂ simultáneos")=6),"Sí","No"),IF(OR(AND(F96&gt;0,SUMIFS($F$2:$F$201,$E$2:$E$201,E96,$AH$2:$AH$201,"Confirmado")=4),AND(G96&gt;0,SUMIFS($G$2:$G$201,$E$2:$E$201,E96,$AH$2:$AH$201,"Confirmado")=4),AND(H96&gt;0,SUMIFS($H$2:$H$201,$E$2:$E$201,E96,$AH$2:$AH$201,"Confirmado")=4),AND(I96&gt;0,SUMIFS($I$2:$I$201,$E$2:$E$201,E96,$AH$2:$AH$201,"Confirmado")=4)),"Sí","No"))))</f>
        <v/>
      </c>
      <c r="AM96" s="2" t="str">
        <f aca="false">IF(A96="","",IF(AH96&lt;&gt;"Confirmado","",IF(AG96="CO/SO₂ simultáneos",IF(OR(COUNTIFS($E$2:$E$201,E96,$AH$2:$AH$201,"Confirmado",$AG$2:$AG$201,"CO/SO₂ simultáneos")&gt;3,SUMIFS($J$2:$J$201,$E$2:$E$201,E96,$AH$2:$AH$201,"Confirmado",$AG$2:$AG$201,"CO/SO₂ simultáneos")&gt;6),"CAPACIDAD EXCEDIDA","OK"),IF(OR(SUMIFS($F$2:$F$201,$E$2:$E$201,E96,$AH$2:$AH$201,"Confirmado")&gt;4,SUMIFS($G$2:$G$201,$E$2:$E$201,E96,$AH$2:$AH$201,"Confirmado")&gt;4,SUMIFS($H$2:$H$201,$E$2:$E$201,E96,$AH$2:$AH$201,"Confirmado")&gt;4,SUMIFS($I$2:$I$201,$E$2:$E$201,E96,$AH$2:$AH$201,"Confirmado")&gt;4),"CAPACIDAD EXCEDIDA","OK"))))</f>
        <v/>
      </c>
      <c r="AN96" s="2" t="str">
        <f aca="true">IF(A96="","",IF(AND(AC96&lt;1,Q96&lt;TODAY(),AH96="Aceptado pendiente de pago/orden"),"PLAZO VENCIDO",IF(AND(AC96&lt;1,AD96&lt;&gt;"",AD96&lt;TODAY()),"VENCIDO","OK")))</f>
        <v/>
      </c>
      <c r="AO96" s="6"/>
      <c r="AP96" s="8"/>
      <c r="AQ96" s="6"/>
      <c r="AR96" s="6" t="s">
        <v>73</v>
      </c>
      <c r="AS96" s="6"/>
      <c r="AT96" s="6"/>
      <c r="AU96" s="6"/>
      <c r="AV96" s="6"/>
      <c r="AW96" s="8" t="str">
        <f aca="false">IF(AV96="","",AV96+60)</f>
        <v/>
      </c>
      <c r="AX96" s="11" t="str">
        <f aca="true">IF(A96="","",IF(AND(AV96&lt;&gt;"",AW96&lt;TODAY(),OR(AH96="Interés",AH96="Cotizado")),"Sí","No"))</f>
        <v/>
      </c>
      <c r="AY96" s="6"/>
      <c r="AZ96" s="6"/>
      <c r="BA96" s="6"/>
      <c r="BB96" s="6"/>
      <c r="BC96" s="4"/>
      <c r="BD96" s="12"/>
    </row>
    <row r="97" customFormat="false" ht="23.8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2" t="n">
        <f aca="false">SUM(F97:I97)</f>
        <v>0</v>
      </c>
      <c r="K97" s="6"/>
      <c r="L97" s="6"/>
      <c r="M97" s="7"/>
      <c r="N97" s="7"/>
      <c r="O97" s="8"/>
      <c r="P97" s="8"/>
      <c r="Q97" s="8"/>
      <c r="R97" s="8"/>
      <c r="S97" s="8"/>
      <c r="T97" s="6"/>
      <c r="U97" s="6"/>
      <c r="V97" s="6"/>
      <c r="W97" s="6"/>
      <c r="X97" s="8"/>
      <c r="Y97" s="6"/>
      <c r="Z97" s="6"/>
      <c r="AA97" s="7"/>
      <c r="AB97" s="9" t="str">
        <f aca="false">IF(N97="","",MAX(0,N97-AA97))</f>
        <v/>
      </c>
      <c r="AC97" s="10" t="str">
        <f aca="false">IF(N97="","",IF(N97=0,0,AA97/N97))</f>
        <v/>
      </c>
      <c r="AD97" s="8"/>
      <c r="AE97" s="6"/>
      <c r="AF97" s="6"/>
      <c r="AG97" s="6"/>
      <c r="AH97" s="6"/>
      <c r="AI97" s="2" t="str">
        <f aca="false">IF(A97="","",IF(V97="Yes",IF(U97="Yes",1,2),""))</f>
        <v/>
      </c>
      <c r="AJ97" s="8"/>
      <c r="AK97" s="2" t="str">
        <f aca="false">IF(A97="","",IF(AJ97="","",COUNTIFS($E$2:$E$201,E97,$AI$2:$AI$201,AI97,$AJ$2:$AJ$201,"&lt;="&amp;AJ97)))</f>
        <v/>
      </c>
      <c r="AL97" s="2" t="str">
        <f aca="false">IF(A97="","",IF(AH97&lt;&gt;"Confirmado","No",IF(AG97="CO/SO₂ simultáneos",IF(OR(COUNTIFS($E$2:$E$201,E97,$AH$2:$AH$201,"Confirmado",$AG$2:$AG$201,"CO/SO₂ simultáneos")=3,SUMIFS($J$2:$J$201,$E$2:$E$201,E97,$AH$2:$AH$201,"Confirmado",$AG$2:$AG$201,"CO/SO₂ simultáneos")=6),"Sí","No"),IF(OR(AND(F97&gt;0,SUMIFS($F$2:$F$201,$E$2:$E$201,E97,$AH$2:$AH$201,"Confirmado")=4),AND(G97&gt;0,SUMIFS($G$2:$G$201,$E$2:$E$201,E97,$AH$2:$AH$201,"Confirmado")=4),AND(H97&gt;0,SUMIFS($H$2:$H$201,$E$2:$E$201,E97,$AH$2:$AH$201,"Confirmado")=4),AND(I97&gt;0,SUMIFS($I$2:$I$201,$E$2:$E$201,E97,$AH$2:$AH$201,"Confirmado")=4)),"Sí","No"))))</f>
        <v/>
      </c>
      <c r="AM97" s="2" t="str">
        <f aca="false">IF(A97="","",IF(AH97&lt;&gt;"Confirmado","",IF(AG97="CO/SO₂ simultáneos",IF(OR(COUNTIFS($E$2:$E$201,E97,$AH$2:$AH$201,"Confirmado",$AG$2:$AG$201,"CO/SO₂ simultáneos")&gt;3,SUMIFS($J$2:$J$201,$E$2:$E$201,E97,$AH$2:$AH$201,"Confirmado",$AG$2:$AG$201,"CO/SO₂ simultáneos")&gt;6),"CAPACIDAD EXCEDIDA","OK"),IF(OR(SUMIFS($F$2:$F$201,$E$2:$E$201,E97,$AH$2:$AH$201,"Confirmado")&gt;4,SUMIFS($G$2:$G$201,$E$2:$E$201,E97,$AH$2:$AH$201,"Confirmado")&gt;4,SUMIFS($H$2:$H$201,$E$2:$E$201,E97,$AH$2:$AH$201,"Confirmado")&gt;4,SUMIFS($I$2:$I$201,$E$2:$E$201,E97,$AH$2:$AH$201,"Confirmado")&gt;4),"CAPACIDAD EXCEDIDA","OK"))))</f>
        <v/>
      </c>
      <c r="AN97" s="2" t="str">
        <f aca="true">IF(A97="","",IF(AND(AC97&lt;1,Q97&lt;TODAY(),AH97="Aceptado pendiente de pago/orden"),"PLAZO VENCIDO",IF(AND(AC97&lt;1,AD97&lt;&gt;"",AD97&lt;TODAY()),"VENCIDO","OK")))</f>
        <v/>
      </c>
      <c r="AO97" s="6"/>
      <c r="AP97" s="8"/>
      <c r="AQ97" s="6"/>
      <c r="AR97" s="6" t="s">
        <v>73</v>
      </c>
      <c r="AS97" s="6"/>
      <c r="AT97" s="6"/>
      <c r="AU97" s="6"/>
      <c r="AV97" s="6"/>
      <c r="AW97" s="8" t="str">
        <f aca="false">IF(AV97="","",AV97+60)</f>
        <v/>
      </c>
      <c r="AX97" s="11" t="str">
        <f aca="true">IF(A97="","",IF(AND(AV97&lt;&gt;"",AW97&lt;TODAY(),OR(AH97="Interés",AH97="Cotizado")),"Sí","No"))</f>
        <v/>
      </c>
      <c r="AY97" s="6"/>
      <c r="AZ97" s="6"/>
      <c r="BA97" s="6"/>
      <c r="BB97" s="6"/>
      <c r="BC97" s="4"/>
      <c r="BD97" s="12"/>
    </row>
    <row r="98" customFormat="false" ht="23.8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2" t="n">
        <f aca="false">SUM(F98:I98)</f>
        <v>0</v>
      </c>
      <c r="K98" s="6"/>
      <c r="L98" s="6"/>
      <c r="M98" s="7"/>
      <c r="N98" s="7"/>
      <c r="O98" s="8"/>
      <c r="P98" s="8"/>
      <c r="Q98" s="8"/>
      <c r="R98" s="8"/>
      <c r="S98" s="8"/>
      <c r="T98" s="6"/>
      <c r="U98" s="6"/>
      <c r="V98" s="6"/>
      <c r="W98" s="6"/>
      <c r="X98" s="8"/>
      <c r="Y98" s="6"/>
      <c r="Z98" s="6"/>
      <c r="AA98" s="7"/>
      <c r="AB98" s="9" t="str">
        <f aca="false">IF(N98="","",MAX(0,N98-AA98))</f>
        <v/>
      </c>
      <c r="AC98" s="10" t="str">
        <f aca="false">IF(N98="","",IF(N98=0,0,AA98/N98))</f>
        <v/>
      </c>
      <c r="AD98" s="8"/>
      <c r="AE98" s="6"/>
      <c r="AF98" s="6"/>
      <c r="AG98" s="6"/>
      <c r="AH98" s="6"/>
      <c r="AI98" s="2" t="str">
        <f aca="false">IF(A98="","",IF(V98="Yes",IF(U98="Yes",1,2),""))</f>
        <v/>
      </c>
      <c r="AJ98" s="8"/>
      <c r="AK98" s="2" t="str">
        <f aca="false">IF(A98="","",IF(AJ98="","",COUNTIFS($E$2:$E$201,E98,$AI$2:$AI$201,AI98,$AJ$2:$AJ$201,"&lt;="&amp;AJ98)))</f>
        <v/>
      </c>
      <c r="AL98" s="2" t="str">
        <f aca="false">IF(A98="","",IF(AH98&lt;&gt;"Confirmado","No",IF(AG98="CO/SO₂ simultáneos",IF(OR(COUNTIFS($E$2:$E$201,E98,$AH$2:$AH$201,"Confirmado",$AG$2:$AG$201,"CO/SO₂ simultáneos")=3,SUMIFS($J$2:$J$201,$E$2:$E$201,E98,$AH$2:$AH$201,"Confirmado",$AG$2:$AG$201,"CO/SO₂ simultáneos")=6),"Sí","No"),IF(OR(AND(F98&gt;0,SUMIFS($F$2:$F$201,$E$2:$E$201,E98,$AH$2:$AH$201,"Confirmado")=4),AND(G98&gt;0,SUMIFS($G$2:$G$201,$E$2:$E$201,E98,$AH$2:$AH$201,"Confirmado")=4),AND(H98&gt;0,SUMIFS($H$2:$H$201,$E$2:$E$201,E98,$AH$2:$AH$201,"Confirmado")=4),AND(I98&gt;0,SUMIFS($I$2:$I$201,$E$2:$E$201,E98,$AH$2:$AH$201,"Confirmado")=4)),"Sí","No"))))</f>
        <v/>
      </c>
      <c r="AM98" s="2" t="str">
        <f aca="false">IF(A98="","",IF(AH98&lt;&gt;"Confirmado","",IF(AG98="CO/SO₂ simultáneos",IF(OR(COUNTIFS($E$2:$E$201,E98,$AH$2:$AH$201,"Confirmado",$AG$2:$AG$201,"CO/SO₂ simultáneos")&gt;3,SUMIFS($J$2:$J$201,$E$2:$E$201,E98,$AH$2:$AH$201,"Confirmado",$AG$2:$AG$201,"CO/SO₂ simultáneos")&gt;6),"CAPACIDAD EXCEDIDA","OK"),IF(OR(SUMIFS($F$2:$F$201,$E$2:$E$201,E98,$AH$2:$AH$201,"Confirmado")&gt;4,SUMIFS($G$2:$G$201,$E$2:$E$201,E98,$AH$2:$AH$201,"Confirmado")&gt;4,SUMIFS($H$2:$H$201,$E$2:$E$201,E98,$AH$2:$AH$201,"Confirmado")&gt;4,SUMIFS($I$2:$I$201,$E$2:$E$201,E98,$AH$2:$AH$201,"Confirmado")&gt;4),"CAPACIDAD EXCEDIDA","OK"))))</f>
        <v/>
      </c>
      <c r="AN98" s="2" t="str">
        <f aca="true">IF(A98="","",IF(AND(AC98&lt;1,Q98&lt;TODAY(),AH98="Aceptado pendiente de pago/orden"),"PLAZO VENCIDO",IF(AND(AC98&lt;1,AD98&lt;&gt;"",AD98&lt;TODAY()),"VENCIDO","OK")))</f>
        <v/>
      </c>
      <c r="AO98" s="6"/>
      <c r="AP98" s="8"/>
      <c r="AQ98" s="6"/>
      <c r="AR98" s="6" t="s">
        <v>73</v>
      </c>
      <c r="AS98" s="6"/>
      <c r="AT98" s="6"/>
      <c r="AU98" s="6"/>
      <c r="AV98" s="6"/>
      <c r="AW98" s="8" t="str">
        <f aca="false">IF(AV98="","",AV98+60)</f>
        <v/>
      </c>
      <c r="AX98" s="11" t="str">
        <f aca="true">IF(A98="","",IF(AND(AV98&lt;&gt;"",AW98&lt;TODAY(),OR(AH98="Interés",AH98="Cotizado")),"Sí","No"))</f>
        <v/>
      </c>
      <c r="AY98" s="6"/>
      <c r="AZ98" s="6"/>
      <c r="BA98" s="6"/>
      <c r="BB98" s="6"/>
      <c r="BC98" s="4"/>
      <c r="BD98" s="12"/>
    </row>
    <row r="99" customFormat="false" ht="23.8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2" t="n">
        <f aca="false">SUM(F99:I99)</f>
        <v>0</v>
      </c>
      <c r="K99" s="6"/>
      <c r="L99" s="6"/>
      <c r="M99" s="7"/>
      <c r="N99" s="7"/>
      <c r="O99" s="8"/>
      <c r="P99" s="8"/>
      <c r="Q99" s="8"/>
      <c r="R99" s="8"/>
      <c r="S99" s="8"/>
      <c r="T99" s="6"/>
      <c r="U99" s="6"/>
      <c r="V99" s="6"/>
      <c r="W99" s="6"/>
      <c r="X99" s="8"/>
      <c r="Y99" s="6"/>
      <c r="Z99" s="6"/>
      <c r="AA99" s="7"/>
      <c r="AB99" s="9" t="str">
        <f aca="false">IF(N99="","",MAX(0,N99-AA99))</f>
        <v/>
      </c>
      <c r="AC99" s="10" t="str">
        <f aca="false">IF(N99="","",IF(N99=0,0,AA99/N99))</f>
        <v/>
      </c>
      <c r="AD99" s="8"/>
      <c r="AE99" s="6"/>
      <c r="AF99" s="6"/>
      <c r="AG99" s="6"/>
      <c r="AH99" s="6"/>
      <c r="AI99" s="2" t="str">
        <f aca="false">IF(A99="","",IF(V99="Yes",IF(U99="Yes",1,2),""))</f>
        <v/>
      </c>
      <c r="AJ99" s="8"/>
      <c r="AK99" s="2" t="str">
        <f aca="false">IF(A99="","",IF(AJ99="","",COUNTIFS($E$2:$E$201,E99,$AI$2:$AI$201,AI99,$AJ$2:$AJ$201,"&lt;="&amp;AJ99)))</f>
        <v/>
      </c>
      <c r="AL99" s="2" t="str">
        <f aca="false">IF(A99="","",IF(AH99&lt;&gt;"Confirmado","No",IF(AG99="CO/SO₂ simultáneos",IF(OR(COUNTIFS($E$2:$E$201,E99,$AH$2:$AH$201,"Confirmado",$AG$2:$AG$201,"CO/SO₂ simultáneos")=3,SUMIFS($J$2:$J$201,$E$2:$E$201,E99,$AH$2:$AH$201,"Confirmado",$AG$2:$AG$201,"CO/SO₂ simultáneos")=6),"Sí","No"),IF(OR(AND(F99&gt;0,SUMIFS($F$2:$F$201,$E$2:$E$201,E99,$AH$2:$AH$201,"Confirmado")=4),AND(G99&gt;0,SUMIFS($G$2:$G$201,$E$2:$E$201,E99,$AH$2:$AH$201,"Confirmado")=4),AND(H99&gt;0,SUMIFS($H$2:$H$201,$E$2:$E$201,E99,$AH$2:$AH$201,"Confirmado")=4),AND(I99&gt;0,SUMIFS($I$2:$I$201,$E$2:$E$201,E99,$AH$2:$AH$201,"Confirmado")=4)),"Sí","No"))))</f>
        <v/>
      </c>
      <c r="AM99" s="2" t="str">
        <f aca="false">IF(A99="","",IF(AH99&lt;&gt;"Confirmado","",IF(AG99="CO/SO₂ simultáneos",IF(OR(COUNTIFS($E$2:$E$201,E99,$AH$2:$AH$201,"Confirmado",$AG$2:$AG$201,"CO/SO₂ simultáneos")&gt;3,SUMIFS($J$2:$J$201,$E$2:$E$201,E99,$AH$2:$AH$201,"Confirmado",$AG$2:$AG$201,"CO/SO₂ simultáneos")&gt;6),"CAPACIDAD EXCEDIDA","OK"),IF(OR(SUMIFS($F$2:$F$201,$E$2:$E$201,E99,$AH$2:$AH$201,"Confirmado")&gt;4,SUMIFS($G$2:$G$201,$E$2:$E$201,E99,$AH$2:$AH$201,"Confirmado")&gt;4,SUMIFS($H$2:$H$201,$E$2:$E$201,E99,$AH$2:$AH$201,"Confirmado")&gt;4,SUMIFS($I$2:$I$201,$E$2:$E$201,E99,$AH$2:$AH$201,"Confirmado")&gt;4),"CAPACIDAD EXCEDIDA","OK"))))</f>
        <v/>
      </c>
      <c r="AN99" s="2" t="str">
        <f aca="true">IF(A99="","",IF(AND(AC99&lt;1,Q99&lt;TODAY(),AH99="Aceptado pendiente de pago/orden"),"PLAZO VENCIDO",IF(AND(AC99&lt;1,AD99&lt;&gt;"",AD99&lt;TODAY()),"VENCIDO","OK")))</f>
        <v/>
      </c>
      <c r="AO99" s="6"/>
      <c r="AP99" s="8"/>
      <c r="AQ99" s="6"/>
      <c r="AR99" s="6" t="s">
        <v>73</v>
      </c>
      <c r="AS99" s="6"/>
      <c r="AT99" s="6"/>
      <c r="AU99" s="6"/>
      <c r="AV99" s="6"/>
      <c r="AW99" s="8" t="str">
        <f aca="false">IF(AV99="","",AV99+60)</f>
        <v/>
      </c>
      <c r="AX99" s="11" t="str">
        <f aca="true">IF(A99="","",IF(AND(AV99&lt;&gt;"",AW99&lt;TODAY(),OR(AH99="Interés",AH99="Cotizado")),"Sí","No"))</f>
        <v/>
      </c>
      <c r="AY99" s="6"/>
      <c r="AZ99" s="6"/>
      <c r="BA99" s="6"/>
      <c r="BB99" s="6"/>
      <c r="BC99" s="4"/>
      <c r="BD99" s="12"/>
    </row>
    <row r="100" customFormat="false" ht="23.8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2" t="n">
        <f aca="false">SUM(F100:I100)</f>
        <v>0</v>
      </c>
      <c r="K100" s="6"/>
      <c r="L100" s="6"/>
      <c r="M100" s="7"/>
      <c r="N100" s="7"/>
      <c r="O100" s="8"/>
      <c r="P100" s="8"/>
      <c r="Q100" s="8"/>
      <c r="R100" s="8"/>
      <c r="S100" s="8"/>
      <c r="T100" s="6"/>
      <c r="U100" s="6"/>
      <c r="V100" s="6"/>
      <c r="W100" s="6"/>
      <c r="X100" s="8"/>
      <c r="Y100" s="6"/>
      <c r="Z100" s="6"/>
      <c r="AA100" s="7"/>
      <c r="AB100" s="9" t="str">
        <f aca="false">IF(N100="","",MAX(0,N100-AA100))</f>
        <v/>
      </c>
      <c r="AC100" s="10" t="str">
        <f aca="false">IF(N100="","",IF(N100=0,0,AA100/N100))</f>
        <v/>
      </c>
      <c r="AD100" s="8"/>
      <c r="AE100" s="6"/>
      <c r="AF100" s="6"/>
      <c r="AG100" s="6"/>
      <c r="AH100" s="6"/>
      <c r="AI100" s="2" t="str">
        <f aca="false">IF(A100="","",IF(V100="Yes",IF(U100="Yes",1,2),""))</f>
        <v/>
      </c>
      <c r="AJ100" s="8"/>
      <c r="AK100" s="2" t="str">
        <f aca="false">IF(A100="","",IF(AJ100="","",COUNTIFS($E$2:$E$201,E100,$AI$2:$AI$201,AI100,$AJ$2:$AJ$201,"&lt;="&amp;AJ100)))</f>
        <v/>
      </c>
      <c r="AL100" s="2" t="str">
        <f aca="false">IF(A100="","",IF(AH100&lt;&gt;"Confirmado","No",IF(AG100="CO/SO₂ simultáneos",IF(OR(COUNTIFS($E$2:$E$201,E100,$AH$2:$AH$201,"Confirmado",$AG$2:$AG$201,"CO/SO₂ simultáneos")=3,SUMIFS($J$2:$J$201,$E$2:$E$201,E100,$AH$2:$AH$201,"Confirmado",$AG$2:$AG$201,"CO/SO₂ simultáneos")=6),"Sí","No"),IF(OR(AND(F100&gt;0,SUMIFS($F$2:$F$201,$E$2:$E$201,E100,$AH$2:$AH$201,"Confirmado")=4),AND(G100&gt;0,SUMIFS($G$2:$G$201,$E$2:$E$201,E100,$AH$2:$AH$201,"Confirmado")=4),AND(H100&gt;0,SUMIFS($H$2:$H$201,$E$2:$E$201,E100,$AH$2:$AH$201,"Confirmado")=4),AND(I100&gt;0,SUMIFS($I$2:$I$201,$E$2:$E$201,E100,$AH$2:$AH$201,"Confirmado")=4)),"Sí","No"))))</f>
        <v/>
      </c>
      <c r="AM100" s="2" t="str">
        <f aca="false">IF(A100="","",IF(AH100&lt;&gt;"Confirmado","",IF(AG100="CO/SO₂ simultáneos",IF(OR(COUNTIFS($E$2:$E$201,E100,$AH$2:$AH$201,"Confirmado",$AG$2:$AG$201,"CO/SO₂ simultáneos")&gt;3,SUMIFS($J$2:$J$201,$E$2:$E$201,E100,$AH$2:$AH$201,"Confirmado",$AG$2:$AG$201,"CO/SO₂ simultáneos")&gt;6),"CAPACIDAD EXCEDIDA","OK"),IF(OR(SUMIFS($F$2:$F$201,$E$2:$E$201,E100,$AH$2:$AH$201,"Confirmado")&gt;4,SUMIFS($G$2:$G$201,$E$2:$E$201,E100,$AH$2:$AH$201,"Confirmado")&gt;4,SUMIFS($H$2:$H$201,$E$2:$E$201,E100,$AH$2:$AH$201,"Confirmado")&gt;4,SUMIFS($I$2:$I$201,$E$2:$E$201,E100,$AH$2:$AH$201,"Confirmado")&gt;4),"CAPACIDAD EXCEDIDA","OK"))))</f>
        <v/>
      </c>
      <c r="AN100" s="2" t="str">
        <f aca="true">IF(A100="","",IF(AND(AC100&lt;1,Q100&lt;TODAY(),AH100="Aceptado pendiente de pago/orden"),"PLAZO VENCIDO",IF(AND(AC100&lt;1,AD100&lt;&gt;"",AD100&lt;TODAY()),"VENCIDO","OK")))</f>
        <v/>
      </c>
      <c r="AO100" s="6"/>
      <c r="AP100" s="8"/>
      <c r="AQ100" s="6"/>
      <c r="AR100" s="6" t="s">
        <v>73</v>
      </c>
      <c r="AS100" s="6"/>
      <c r="AT100" s="6"/>
      <c r="AU100" s="6"/>
      <c r="AV100" s="6"/>
      <c r="AW100" s="8" t="str">
        <f aca="false">IF(AV100="","",AV100+60)</f>
        <v/>
      </c>
      <c r="AX100" s="11" t="str">
        <f aca="true">IF(A100="","",IF(AND(AV100&lt;&gt;"",AW100&lt;TODAY(),OR(AH100="Interés",AH100="Cotizado")),"Sí","No"))</f>
        <v/>
      </c>
      <c r="AY100" s="6"/>
      <c r="AZ100" s="6"/>
      <c r="BA100" s="6"/>
      <c r="BB100" s="6"/>
      <c r="BC100" s="4"/>
      <c r="BD100" s="12"/>
    </row>
    <row r="101" customFormat="false" ht="23.8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2" t="n">
        <f aca="false">SUM(F101:I101)</f>
        <v>0</v>
      </c>
      <c r="K101" s="6"/>
      <c r="L101" s="6"/>
      <c r="M101" s="7"/>
      <c r="N101" s="7"/>
      <c r="O101" s="8"/>
      <c r="P101" s="8"/>
      <c r="Q101" s="8"/>
      <c r="R101" s="8"/>
      <c r="S101" s="8"/>
      <c r="T101" s="6"/>
      <c r="U101" s="6"/>
      <c r="V101" s="6"/>
      <c r="W101" s="6"/>
      <c r="X101" s="8"/>
      <c r="Y101" s="6"/>
      <c r="Z101" s="6"/>
      <c r="AA101" s="7"/>
      <c r="AB101" s="9" t="str">
        <f aca="false">IF(N101="","",MAX(0,N101-AA101))</f>
        <v/>
      </c>
      <c r="AC101" s="10" t="str">
        <f aca="false">IF(N101="","",IF(N101=0,0,AA101/N101))</f>
        <v/>
      </c>
      <c r="AD101" s="8"/>
      <c r="AE101" s="6"/>
      <c r="AF101" s="6"/>
      <c r="AG101" s="6"/>
      <c r="AH101" s="6"/>
      <c r="AI101" s="2" t="str">
        <f aca="false">IF(A101="","",IF(V101="Yes",IF(U101="Yes",1,2),""))</f>
        <v/>
      </c>
      <c r="AJ101" s="8"/>
      <c r="AK101" s="2" t="str">
        <f aca="false">IF(A101="","",IF(AJ101="","",COUNTIFS($E$2:$E$201,E101,$AI$2:$AI$201,AI101,$AJ$2:$AJ$201,"&lt;="&amp;AJ101)))</f>
        <v/>
      </c>
      <c r="AL101" s="2" t="str">
        <f aca="false">IF(A101="","",IF(AH101&lt;&gt;"Confirmado","No",IF(AG101="CO/SO₂ simultáneos",IF(OR(COUNTIFS($E$2:$E$201,E101,$AH$2:$AH$201,"Confirmado",$AG$2:$AG$201,"CO/SO₂ simultáneos")=3,SUMIFS($J$2:$J$201,$E$2:$E$201,E101,$AH$2:$AH$201,"Confirmado",$AG$2:$AG$201,"CO/SO₂ simultáneos")=6),"Sí","No"),IF(OR(AND(F101&gt;0,SUMIFS($F$2:$F$201,$E$2:$E$201,E101,$AH$2:$AH$201,"Confirmado")=4),AND(G101&gt;0,SUMIFS($G$2:$G$201,$E$2:$E$201,E101,$AH$2:$AH$201,"Confirmado")=4),AND(H101&gt;0,SUMIFS($H$2:$H$201,$E$2:$E$201,E101,$AH$2:$AH$201,"Confirmado")=4),AND(I101&gt;0,SUMIFS($I$2:$I$201,$E$2:$E$201,E101,$AH$2:$AH$201,"Confirmado")=4)),"Sí","No"))))</f>
        <v/>
      </c>
      <c r="AM101" s="2" t="str">
        <f aca="false">IF(A101="","",IF(AH101&lt;&gt;"Confirmado","",IF(AG101="CO/SO₂ simultáneos",IF(OR(COUNTIFS($E$2:$E$201,E101,$AH$2:$AH$201,"Confirmado",$AG$2:$AG$201,"CO/SO₂ simultáneos")&gt;3,SUMIFS($J$2:$J$201,$E$2:$E$201,E101,$AH$2:$AH$201,"Confirmado",$AG$2:$AG$201,"CO/SO₂ simultáneos")&gt;6),"CAPACIDAD EXCEDIDA","OK"),IF(OR(SUMIFS($F$2:$F$201,$E$2:$E$201,E101,$AH$2:$AH$201,"Confirmado")&gt;4,SUMIFS($G$2:$G$201,$E$2:$E$201,E101,$AH$2:$AH$201,"Confirmado")&gt;4,SUMIFS($H$2:$H$201,$E$2:$E$201,E101,$AH$2:$AH$201,"Confirmado")&gt;4,SUMIFS($I$2:$I$201,$E$2:$E$201,E101,$AH$2:$AH$201,"Confirmado")&gt;4),"CAPACIDAD EXCEDIDA","OK"))))</f>
        <v/>
      </c>
      <c r="AN101" s="2" t="str">
        <f aca="true">IF(A101="","",IF(AND(AC101&lt;1,Q101&lt;TODAY(),AH101="Aceptado pendiente de pago/orden"),"PLAZO VENCIDO",IF(AND(AC101&lt;1,AD101&lt;&gt;"",AD101&lt;TODAY()),"VENCIDO","OK")))</f>
        <v/>
      </c>
      <c r="AO101" s="6"/>
      <c r="AP101" s="8"/>
      <c r="AQ101" s="6"/>
      <c r="AR101" s="6" t="s">
        <v>73</v>
      </c>
      <c r="AS101" s="6"/>
      <c r="AT101" s="6"/>
      <c r="AU101" s="6"/>
      <c r="AV101" s="6"/>
      <c r="AW101" s="8" t="str">
        <f aca="false">IF(AV101="","",AV101+60)</f>
        <v/>
      </c>
      <c r="AX101" s="11" t="str">
        <f aca="true">IF(A101="","",IF(AND(AV101&lt;&gt;"",AW101&lt;TODAY(),OR(AH101="Interés",AH101="Cotizado")),"Sí","No"))</f>
        <v/>
      </c>
      <c r="AY101" s="6"/>
      <c r="AZ101" s="6"/>
      <c r="BA101" s="6"/>
      <c r="BB101" s="6"/>
      <c r="BC101" s="4"/>
      <c r="BD101" s="12"/>
    </row>
    <row r="102" customFormat="false" ht="23.8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2" t="n">
        <f aca="false">SUM(F102:I102)</f>
        <v>0</v>
      </c>
      <c r="K102" s="6"/>
      <c r="L102" s="6"/>
      <c r="M102" s="7"/>
      <c r="N102" s="7"/>
      <c r="O102" s="8"/>
      <c r="P102" s="8"/>
      <c r="Q102" s="8"/>
      <c r="R102" s="8"/>
      <c r="S102" s="8"/>
      <c r="T102" s="6"/>
      <c r="U102" s="6"/>
      <c r="V102" s="6"/>
      <c r="W102" s="6"/>
      <c r="X102" s="8"/>
      <c r="Y102" s="6"/>
      <c r="Z102" s="6"/>
      <c r="AA102" s="7"/>
      <c r="AB102" s="9" t="str">
        <f aca="false">IF(N102="","",MAX(0,N102-AA102))</f>
        <v/>
      </c>
      <c r="AC102" s="10" t="str">
        <f aca="false">IF(N102="","",IF(N102=0,0,AA102/N102))</f>
        <v/>
      </c>
      <c r="AD102" s="8"/>
      <c r="AE102" s="6"/>
      <c r="AF102" s="6"/>
      <c r="AG102" s="6"/>
      <c r="AH102" s="6"/>
      <c r="AI102" s="2" t="str">
        <f aca="false">IF(A102="","",IF(V102="Yes",IF(U102="Yes",1,2),""))</f>
        <v/>
      </c>
      <c r="AJ102" s="8"/>
      <c r="AK102" s="2" t="str">
        <f aca="false">IF(A102="","",IF(AJ102="","",COUNTIFS($E$2:$E$201,E102,$AI$2:$AI$201,AI102,$AJ$2:$AJ$201,"&lt;="&amp;AJ102)))</f>
        <v/>
      </c>
      <c r="AL102" s="2" t="str">
        <f aca="false">IF(A102="","",IF(AH102&lt;&gt;"Confirmado","No",IF(AG102="CO/SO₂ simultáneos",IF(OR(COUNTIFS($E$2:$E$201,E102,$AH$2:$AH$201,"Confirmado",$AG$2:$AG$201,"CO/SO₂ simultáneos")=3,SUMIFS($J$2:$J$201,$E$2:$E$201,E102,$AH$2:$AH$201,"Confirmado",$AG$2:$AG$201,"CO/SO₂ simultáneos")=6),"Sí","No"),IF(OR(AND(F102&gt;0,SUMIFS($F$2:$F$201,$E$2:$E$201,E102,$AH$2:$AH$201,"Confirmado")=4),AND(G102&gt;0,SUMIFS($G$2:$G$201,$E$2:$E$201,E102,$AH$2:$AH$201,"Confirmado")=4),AND(H102&gt;0,SUMIFS($H$2:$H$201,$E$2:$E$201,E102,$AH$2:$AH$201,"Confirmado")=4),AND(I102&gt;0,SUMIFS($I$2:$I$201,$E$2:$E$201,E102,$AH$2:$AH$201,"Confirmado")=4)),"Sí","No"))))</f>
        <v/>
      </c>
      <c r="AM102" s="2" t="str">
        <f aca="false">IF(A102="","",IF(AH102&lt;&gt;"Confirmado","",IF(AG102="CO/SO₂ simultáneos",IF(OR(COUNTIFS($E$2:$E$201,E102,$AH$2:$AH$201,"Confirmado",$AG$2:$AG$201,"CO/SO₂ simultáneos")&gt;3,SUMIFS($J$2:$J$201,$E$2:$E$201,E102,$AH$2:$AH$201,"Confirmado",$AG$2:$AG$201,"CO/SO₂ simultáneos")&gt;6),"CAPACIDAD EXCEDIDA","OK"),IF(OR(SUMIFS($F$2:$F$201,$E$2:$E$201,E102,$AH$2:$AH$201,"Confirmado")&gt;4,SUMIFS($G$2:$G$201,$E$2:$E$201,E102,$AH$2:$AH$201,"Confirmado")&gt;4,SUMIFS($H$2:$H$201,$E$2:$E$201,E102,$AH$2:$AH$201,"Confirmado")&gt;4,SUMIFS($I$2:$I$201,$E$2:$E$201,E102,$AH$2:$AH$201,"Confirmado")&gt;4),"CAPACIDAD EXCEDIDA","OK"))))</f>
        <v/>
      </c>
      <c r="AN102" s="2" t="str">
        <f aca="true">IF(A102="","",IF(AND(AC102&lt;1,Q102&lt;TODAY(),AH102="Aceptado pendiente de pago/orden"),"PLAZO VENCIDO",IF(AND(AC102&lt;1,AD102&lt;&gt;"",AD102&lt;TODAY()),"VENCIDO","OK")))</f>
        <v/>
      </c>
      <c r="AO102" s="6"/>
      <c r="AP102" s="8"/>
      <c r="AQ102" s="6"/>
      <c r="AR102" s="6" t="s">
        <v>73</v>
      </c>
      <c r="AS102" s="6"/>
      <c r="AT102" s="6"/>
      <c r="AU102" s="6"/>
      <c r="AV102" s="6"/>
      <c r="AW102" s="8" t="str">
        <f aca="false">IF(AV102="","",AV102+60)</f>
        <v/>
      </c>
      <c r="AX102" s="11" t="str">
        <f aca="true">IF(A102="","",IF(AND(AV102&lt;&gt;"",AW102&lt;TODAY(),OR(AH102="Interés",AH102="Cotizado")),"Sí","No"))</f>
        <v/>
      </c>
      <c r="AY102" s="6"/>
      <c r="AZ102" s="6"/>
      <c r="BA102" s="6"/>
      <c r="BB102" s="6"/>
      <c r="BC102" s="4"/>
      <c r="BD102" s="12"/>
    </row>
    <row r="103" customFormat="false" ht="23.8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2" t="n">
        <f aca="false">SUM(F103:I103)</f>
        <v>0</v>
      </c>
      <c r="K103" s="6"/>
      <c r="L103" s="6"/>
      <c r="M103" s="7"/>
      <c r="N103" s="7"/>
      <c r="O103" s="8"/>
      <c r="P103" s="8"/>
      <c r="Q103" s="8"/>
      <c r="R103" s="8"/>
      <c r="S103" s="8"/>
      <c r="T103" s="6"/>
      <c r="U103" s="6"/>
      <c r="V103" s="6"/>
      <c r="W103" s="6"/>
      <c r="X103" s="8"/>
      <c r="Y103" s="6"/>
      <c r="Z103" s="6"/>
      <c r="AA103" s="7"/>
      <c r="AB103" s="9" t="str">
        <f aca="false">IF(N103="","",MAX(0,N103-AA103))</f>
        <v/>
      </c>
      <c r="AC103" s="10" t="str">
        <f aca="false">IF(N103="","",IF(N103=0,0,AA103/N103))</f>
        <v/>
      </c>
      <c r="AD103" s="8"/>
      <c r="AE103" s="6"/>
      <c r="AF103" s="6"/>
      <c r="AG103" s="6"/>
      <c r="AH103" s="6"/>
      <c r="AI103" s="2" t="str">
        <f aca="false">IF(A103="","",IF(V103="Yes",IF(U103="Yes",1,2),""))</f>
        <v/>
      </c>
      <c r="AJ103" s="8"/>
      <c r="AK103" s="2" t="str">
        <f aca="false">IF(A103="","",IF(AJ103="","",COUNTIFS($E$2:$E$201,E103,$AI$2:$AI$201,AI103,$AJ$2:$AJ$201,"&lt;="&amp;AJ103)))</f>
        <v/>
      </c>
      <c r="AL103" s="2" t="str">
        <f aca="false">IF(A103="","",IF(AH103&lt;&gt;"Confirmado","No",IF(AG103="CO/SO₂ simultáneos",IF(OR(COUNTIFS($E$2:$E$201,E103,$AH$2:$AH$201,"Confirmado",$AG$2:$AG$201,"CO/SO₂ simultáneos")=3,SUMIFS($J$2:$J$201,$E$2:$E$201,E103,$AH$2:$AH$201,"Confirmado",$AG$2:$AG$201,"CO/SO₂ simultáneos")=6),"Sí","No"),IF(OR(AND(F103&gt;0,SUMIFS($F$2:$F$201,$E$2:$E$201,E103,$AH$2:$AH$201,"Confirmado")=4),AND(G103&gt;0,SUMIFS($G$2:$G$201,$E$2:$E$201,E103,$AH$2:$AH$201,"Confirmado")=4),AND(H103&gt;0,SUMIFS($H$2:$H$201,$E$2:$E$201,E103,$AH$2:$AH$201,"Confirmado")=4),AND(I103&gt;0,SUMIFS($I$2:$I$201,$E$2:$E$201,E103,$AH$2:$AH$201,"Confirmado")=4)),"Sí","No"))))</f>
        <v/>
      </c>
      <c r="AM103" s="2" t="str">
        <f aca="false">IF(A103="","",IF(AH103&lt;&gt;"Confirmado","",IF(AG103="CO/SO₂ simultáneos",IF(OR(COUNTIFS($E$2:$E$201,E103,$AH$2:$AH$201,"Confirmado",$AG$2:$AG$201,"CO/SO₂ simultáneos")&gt;3,SUMIFS($J$2:$J$201,$E$2:$E$201,E103,$AH$2:$AH$201,"Confirmado",$AG$2:$AG$201,"CO/SO₂ simultáneos")&gt;6),"CAPACIDAD EXCEDIDA","OK"),IF(OR(SUMIFS($F$2:$F$201,$E$2:$E$201,E103,$AH$2:$AH$201,"Confirmado")&gt;4,SUMIFS($G$2:$G$201,$E$2:$E$201,E103,$AH$2:$AH$201,"Confirmado")&gt;4,SUMIFS($H$2:$H$201,$E$2:$E$201,E103,$AH$2:$AH$201,"Confirmado")&gt;4,SUMIFS($I$2:$I$201,$E$2:$E$201,E103,$AH$2:$AH$201,"Confirmado")&gt;4),"CAPACIDAD EXCEDIDA","OK"))))</f>
        <v/>
      </c>
      <c r="AN103" s="2" t="str">
        <f aca="true">IF(A103="","",IF(AND(AC103&lt;1,Q103&lt;TODAY(),AH103="Aceptado pendiente de pago/orden"),"PLAZO VENCIDO",IF(AND(AC103&lt;1,AD103&lt;&gt;"",AD103&lt;TODAY()),"VENCIDO","OK")))</f>
        <v/>
      </c>
      <c r="AO103" s="6"/>
      <c r="AP103" s="8"/>
      <c r="AQ103" s="6"/>
      <c r="AR103" s="6" t="s">
        <v>73</v>
      </c>
      <c r="AS103" s="6"/>
      <c r="AT103" s="6"/>
      <c r="AU103" s="6"/>
      <c r="AV103" s="6"/>
      <c r="AW103" s="8" t="str">
        <f aca="false">IF(AV103="","",AV103+60)</f>
        <v/>
      </c>
      <c r="AX103" s="11" t="str">
        <f aca="true">IF(A103="","",IF(AND(AV103&lt;&gt;"",AW103&lt;TODAY(),OR(AH103="Interés",AH103="Cotizado")),"Sí","No"))</f>
        <v/>
      </c>
      <c r="AY103" s="6"/>
      <c r="AZ103" s="6"/>
      <c r="BA103" s="6"/>
      <c r="BB103" s="6"/>
      <c r="BC103" s="4"/>
      <c r="BD103" s="12"/>
    </row>
    <row r="104" customFormat="false" ht="23.8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2" t="n">
        <f aca="false">SUM(F104:I104)</f>
        <v>0</v>
      </c>
      <c r="K104" s="6"/>
      <c r="L104" s="6"/>
      <c r="M104" s="7"/>
      <c r="N104" s="7"/>
      <c r="O104" s="8"/>
      <c r="P104" s="8"/>
      <c r="Q104" s="8"/>
      <c r="R104" s="8"/>
      <c r="S104" s="8"/>
      <c r="T104" s="6"/>
      <c r="U104" s="6"/>
      <c r="V104" s="6"/>
      <c r="W104" s="6"/>
      <c r="X104" s="8"/>
      <c r="Y104" s="6"/>
      <c r="Z104" s="6"/>
      <c r="AA104" s="7"/>
      <c r="AB104" s="9" t="str">
        <f aca="false">IF(N104="","",MAX(0,N104-AA104))</f>
        <v/>
      </c>
      <c r="AC104" s="10" t="str">
        <f aca="false">IF(N104="","",IF(N104=0,0,AA104/N104))</f>
        <v/>
      </c>
      <c r="AD104" s="8"/>
      <c r="AE104" s="6"/>
      <c r="AF104" s="6"/>
      <c r="AG104" s="6"/>
      <c r="AH104" s="6"/>
      <c r="AI104" s="2" t="str">
        <f aca="false">IF(A104="","",IF(V104="Yes",IF(U104="Yes",1,2),""))</f>
        <v/>
      </c>
      <c r="AJ104" s="8"/>
      <c r="AK104" s="2" t="str">
        <f aca="false">IF(A104="","",IF(AJ104="","",COUNTIFS($E$2:$E$201,E104,$AI$2:$AI$201,AI104,$AJ$2:$AJ$201,"&lt;="&amp;AJ104)))</f>
        <v/>
      </c>
      <c r="AL104" s="2" t="str">
        <f aca="false">IF(A104="","",IF(AH104&lt;&gt;"Confirmado","No",IF(AG104="CO/SO₂ simultáneos",IF(OR(COUNTIFS($E$2:$E$201,E104,$AH$2:$AH$201,"Confirmado",$AG$2:$AG$201,"CO/SO₂ simultáneos")=3,SUMIFS($J$2:$J$201,$E$2:$E$201,E104,$AH$2:$AH$201,"Confirmado",$AG$2:$AG$201,"CO/SO₂ simultáneos")=6),"Sí","No"),IF(OR(AND(F104&gt;0,SUMIFS($F$2:$F$201,$E$2:$E$201,E104,$AH$2:$AH$201,"Confirmado")=4),AND(G104&gt;0,SUMIFS($G$2:$G$201,$E$2:$E$201,E104,$AH$2:$AH$201,"Confirmado")=4),AND(H104&gt;0,SUMIFS($H$2:$H$201,$E$2:$E$201,E104,$AH$2:$AH$201,"Confirmado")=4),AND(I104&gt;0,SUMIFS($I$2:$I$201,$E$2:$E$201,E104,$AH$2:$AH$201,"Confirmado")=4)),"Sí","No"))))</f>
        <v/>
      </c>
      <c r="AM104" s="2" t="str">
        <f aca="false">IF(A104="","",IF(AH104&lt;&gt;"Confirmado","",IF(AG104="CO/SO₂ simultáneos",IF(OR(COUNTIFS($E$2:$E$201,E104,$AH$2:$AH$201,"Confirmado",$AG$2:$AG$201,"CO/SO₂ simultáneos")&gt;3,SUMIFS($J$2:$J$201,$E$2:$E$201,E104,$AH$2:$AH$201,"Confirmado",$AG$2:$AG$201,"CO/SO₂ simultáneos")&gt;6),"CAPACIDAD EXCEDIDA","OK"),IF(OR(SUMIFS($F$2:$F$201,$E$2:$E$201,E104,$AH$2:$AH$201,"Confirmado")&gt;4,SUMIFS($G$2:$G$201,$E$2:$E$201,E104,$AH$2:$AH$201,"Confirmado")&gt;4,SUMIFS($H$2:$H$201,$E$2:$E$201,E104,$AH$2:$AH$201,"Confirmado")&gt;4,SUMIFS($I$2:$I$201,$E$2:$E$201,E104,$AH$2:$AH$201,"Confirmado")&gt;4),"CAPACIDAD EXCEDIDA","OK"))))</f>
        <v/>
      </c>
      <c r="AN104" s="2" t="str">
        <f aca="true">IF(A104="","",IF(AND(AC104&lt;1,Q104&lt;TODAY(),AH104="Aceptado pendiente de pago/orden"),"PLAZO VENCIDO",IF(AND(AC104&lt;1,AD104&lt;&gt;"",AD104&lt;TODAY()),"VENCIDO","OK")))</f>
        <v/>
      </c>
      <c r="AO104" s="6"/>
      <c r="AP104" s="8"/>
      <c r="AQ104" s="6"/>
      <c r="AR104" s="6" t="s">
        <v>73</v>
      </c>
      <c r="AS104" s="6"/>
      <c r="AT104" s="6"/>
      <c r="AU104" s="6"/>
      <c r="AV104" s="6"/>
      <c r="AW104" s="8" t="str">
        <f aca="false">IF(AV104="","",AV104+60)</f>
        <v/>
      </c>
      <c r="AX104" s="11" t="str">
        <f aca="true">IF(A104="","",IF(AND(AV104&lt;&gt;"",AW104&lt;TODAY(),OR(AH104="Interés",AH104="Cotizado")),"Sí","No"))</f>
        <v/>
      </c>
      <c r="AY104" s="6"/>
      <c r="AZ104" s="6"/>
      <c r="BA104" s="6"/>
      <c r="BB104" s="6"/>
      <c r="BC104" s="4"/>
      <c r="BD104" s="12"/>
    </row>
    <row r="105" customFormat="false" ht="23.8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2" t="n">
        <f aca="false">SUM(F105:I105)</f>
        <v>0</v>
      </c>
      <c r="K105" s="6"/>
      <c r="L105" s="6"/>
      <c r="M105" s="7"/>
      <c r="N105" s="7"/>
      <c r="O105" s="8"/>
      <c r="P105" s="8"/>
      <c r="Q105" s="8"/>
      <c r="R105" s="8"/>
      <c r="S105" s="8"/>
      <c r="T105" s="6"/>
      <c r="U105" s="6"/>
      <c r="V105" s="6"/>
      <c r="W105" s="6"/>
      <c r="X105" s="8"/>
      <c r="Y105" s="6"/>
      <c r="Z105" s="6"/>
      <c r="AA105" s="7"/>
      <c r="AB105" s="9" t="str">
        <f aca="false">IF(N105="","",MAX(0,N105-AA105))</f>
        <v/>
      </c>
      <c r="AC105" s="10" t="str">
        <f aca="false">IF(N105="","",IF(N105=0,0,AA105/N105))</f>
        <v/>
      </c>
      <c r="AD105" s="8"/>
      <c r="AE105" s="6"/>
      <c r="AF105" s="6"/>
      <c r="AG105" s="6"/>
      <c r="AH105" s="6"/>
      <c r="AI105" s="2" t="str">
        <f aca="false">IF(A105="","",IF(V105="Yes",IF(U105="Yes",1,2),""))</f>
        <v/>
      </c>
      <c r="AJ105" s="8"/>
      <c r="AK105" s="2" t="str">
        <f aca="false">IF(A105="","",IF(AJ105="","",COUNTIFS($E$2:$E$201,E105,$AI$2:$AI$201,AI105,$AJ$2:$AJ$201,"&lt;="&amp;AJ105)))</f>
        <v/>
      </c>
      <c r="AL105" s="2" t="str">
        <f aca="false">IF(A105="","",IF(AH105&lt;&gt;"Confirmado","No",IF(AG105="CO/SO₂ simultáneos",IF(OR(COUNTIFS($E$2:$E$201,E105,$AH$2:$AH$201,"Confirmado",$AG$2:$AG$201,"CO/SO₂ simultáneos")=3,SUMIFS($J$2:$J$201,$E$2:$E$201,E105,$AH$2:$AH$201,"Confirmado",$AG$2:$AG$201,"CO/SO₂ simultáneos")=6),"Sí","No"),IF(OR(AND(F105&gt;0,SUMIFS($F$2:$F$201,$E$2:$E$201,E105,$AH$2:$AH$201,"Confirmado")=4),AND(G105&gt;0,SUMIFS($G$2:$G$201,$E$2:$E$201,E105,$AH$2:$AH$201,"Confirmado")=4),AND(H105&gt;0,SUMIFS($H$2:$H$201,$E$2:$E$201,E105,$AH$2:$AH$201,"Confirmado")=4),AND(I105&gt;0,SUMIFS($I$2:$I$201,$E$2:$E$201,E105,$AH$2:$AH$201,"Confirmado")=4)),"Sí","No"))))</f>
        <v/>
      </c>
      <c r="AM105" s="2" t="str">
        <f aca="false">IF(A105="","",IF(AH105&lt;&gt;"Confirmado","",IF(AG105="CO/SO₂ simultáneos",IF(OR(COUNTIFS($E$2:$E$201,E105,$AH$2:$AH$201,"Confirmado",$AG$2:$AG$201,"CO/SO₂ simultáneos")&gt;3,SUMIFS($J$2:$J$201,$E$2:$E$201,E105,$AH$2:$AH$201,"Confirmado",$AG$2:$AG$201,"CO/SO₂ simultáneos")&gt;6),"CAPACIDAD EXCEDIDA","OK"),IF(OR(SUMIFS($F$2:$F$201,$E$2:$E$201,E105,$AH$2:$AH$201,"Confirmado")&gt;4,SUMIFS($G$2:$G$201,$E$2:$E$201,E105,$AH$2:$AH$201,"Confirmado")&gt;4,SUMIFS($H$2:$H$201,$E$2:$E$201,E105,$AH$2:$AH$201,"Confirmado")&gt;4,SUMIFS($I$2:$I$201,$E$2:$E$201,E105,$AH$2:$AH$201,"Confirmado")&gt;4),"CAPACIDAD EXCEDIDA","OK"))))</f>
        <v/>
      </c>
      <c r="AN105" s="2" t="str">
        <f aca="true">IF(A105="","",IF(AND(AC105&lt;1,Q105&lt;TODAY(),AH105="Aceptado pendiente de pago/orden"),"PLAZO VENCIDO",IF(AND(AC105&lt;1,AD105&lt;&gt;"",AD105&lt;TODAY()),"VENCIDO","OK")))</f>
        <v/>
      </c>
      <c r="AO105" s="6"/>
      <c r="AP105" s="8"/>
      <c r="AQ105" s="6"/>
      <c r="AR105" s="6" t="s">
        <v>73</v>
      </c>
      <c r="AS105" s="6"/>
      <c r="AT105" s="6"/>
      <c r="AU105" s="6"/>
      <c r="AV105" s="6"/>
      <c r="AW105" s="8" t="str">
        <f aca="false">IF(AV105="","",AV105+60)</f>
        <v/>
      </c>
      <c r="AX105" s="11" t="str">
        <f aca="true">IF(A105="","",IF(AND(AV105&lt;&gt;"",AW105&lt;TODAY(),OR(AH105="Interés",AH105="Cotizado")),"Sí","No"))</f>
        <v/>
      </c>
      <c r="AY105" s="6"/>
      <c r="AZ105" s="6"/>
      <c r="BA105" s="6"/>
      <c r="BB105" s="6"/>
      <c r="BC105" s="4"/>
      <c r="BD105" s="12"/>
    </row>
    <row r="106" customFormat="false" ht="23.8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2" t="n">
        <f aca="false">SUM(F106:I106)</f>
        <v>0</v>
      </c>
      <c r="K106" s="6"/>
      <c r="L106" s="6"/>
      <c r="M106" s="7"/>
      <c r="N106" s="7"/>
      <c r="O106" s="8"/>
      <c r="P106" s="8"/>
      <c r="Q106" s="8"/>
      <c r="R106" s="8"/>
      <c r="S106" s="8"/>
      <c r="T106" s="6"/>
      <c r="U106" s="6"/>
      <c r="V106" s="6"/>
      <c r="W106" s="6"/>
      <c r="X106" s="8"/>
      <c r="Y106" s="6"/>
      <c r="Z106" s="6"/>
      <c r="AA106" s="7"/>
      <c r="AB106" s="9" t="str">
        <f aca="false">IF(N106="","",MAX(0,N106-AA106))</f>
        <v/>
      </c>
      <c r="AC106" s="10" t="str">
        <f aca="false">IF(N106="","",IF(N106=0,0,AA106/N106))</f>
        <v/>
      </c>
      <c r="AD106" s="8"/>
      <c r="AE106" s="6"/>
      <c r="AF106" s="6"/>
      <c r="AG106" s="6"/>
      <c r="AH106" s="6"/>
      <c r="AI106" s="2" t="str">
        <f aca="false">IF(A106="","",IF(V106="Yes",IF(U106="Yes",1,2),""))</f>
        <v/>
      </c>
      <c r="AJ106" s="8"/>
      <c r="AK106" s="2" t="str">
        <f aca="false">IF(A106="","",IF(AJ106="","",COUNTIFS($E$2:$E$201,E106,$AI$2:$AI$201,AI106,$AJ$2:$AJ$201,"&lt;="&amp;AJ106)))</f>
        <v/>
      </c>
      <c r="AL106" s="2" t="str">
        <f aca="false">IF(A106="","",IF(AH106&lt;&gt;"Confirmado","No",IF(AG106="CO/SO₂ simultáneos",IF(OR(COUNTIFS($E$2:$E$201,E106,$AH$2:$AH$201,"Confirmado",$AG$2:$AG$201,"CO/SO₂ simultáneos")=3,SUMIFS($J$2:$J$201,$E$2:$E$201,E106,$AH$2:$AH$201,"Confirmado",$AG$2:$AG$201,"CO/SO₂ simultáneos")=6),"Sí","No"),IF(OR(AND(F106&gt;0,SUMIFS($F$2:$F$201,$E$2:$E$201,E106,$AH$2:$AH$201,"Confirmado")=4),AND(G106&gt;0,SUMIFS($G$2:$G$201,$E$2:$E$201,E106,$AH$2:$AH$201,"Confirmado")=4),AND(H106&gt;0,SUMIFS($H$2:$H$201,$E$2:$E$201,E106,$AH$2:$AH$201,"Confirmado")=4),AND(I106&gt;0,SUMIFS($I$2:$I$201,$E$2:$E$201,E106,$AH$2:$AH$201,"Confirmado")=4)),"Sí","No"))))</f>
        <v/>
      </c>
      <c r="AM106" s="2" t="str">
        <f aca="false">IF(A106="","",IF(AH106&lt;&gt;"Confirmado","",IF(AG106="CO/SO₂ simultáneos",IF(OR(COUNTIFS($E$2:$E$201,E106,$AH$2:$AH$201,"Confirmado",$AG$2:$AG$201,"CO/SO₂ simultáneos")&gt;3,SUMIFS($J$2:$J$201,$E$2:$E$201,E106,$AH$2:$AH$201,"Confirmado",$AG$2:$AG$201,"CO/SO₂ simultáneos")&gt;6),"CAPACIDAD EXCEDIDA","OK"),IF(OR(SUMIFS($F$2:$F$201,$E$2:$E$201,E106,$AH$2:$AH$201,"Confirmado")&gt;4,SUMIFS($G$2:$G$201,$E$2:$E$201,E106,$AH$2:$AH$201,"Confirmado")&gt;4,SUMIFS($H$2:$H$201,$E$2:$E$201,E106,$AH$2:$AH$201,"Confirmado")&gt;4,SUMIFS($I$2:$I$201,$E$2:$E$201,E106,$AH$2:$AH$201,"Confirmado")&gt;4),"CAPACIDAD EXCEDIDA","OK"))))</f>
        <v/>
      </c>
      <c r="AN106" s="2" t="str">
        <f aca="true">IF(A106="","",IF(AND(AC106&lt;1,Q106&lt;TODAY(),AH106="Aceptado pendiente de pago/orden"),"PLAZO VENCIDO",IF(AND(AC106&lt;1,AD106&lt;&gt;"",AD106&lt;TODAY()),"VENCIDO","OK")))</f>
        <v/>
      </c>
      <c r="AO106" s="6"/>
      <c r="AP106" s="8"/>
      <c r="AQ106" s="6"/>
      <c r="AR106" s="6" t="s">
        <v>73</v>
      </c>
      <c r="AS106" s="6"/>
      <c r="AT106" s="6"/>
      <c r="AU106" s="6"/>
      <c r="AV106" s="6"/>
      <c r="AW106" s="8" t="str">
        <f aca="false">IF(AV106="","",AV106+60)</f>
        <v/>
      </c>
      <c r="AX106" s="11" t="str">
        <f aca="true">IF(A106="","",IF(AND(AV106&lt;&gt;"",AW106&lt;TODAY(),OR(AH106="Interés",AH106="Cotizado")),"Sí","No"))</f>
        <v/>
      </c>
      <c r="AY106" s="6"/>
      <c r="AZ106" s="6"/>
      <c r="BA106" s="6"/>
      <c r="BB106" s="6"/>
      <c r="BC106" s="4"/>
      <c r="BD106" s="12"/>
    </row>
    <row r="107" customFormat="false" ht="23.8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2" t="n">
        <f aca="false">SUM(F107:I107)</f>
        <v>0</v>
      </c>
      <c r="K107" s="6"/>
      <c r="L107" s="6"/>
      <c r="M107" s="7"/>
      <c r="N107" s="7"/>
      <c r="O107" s="8"/>
      <c r="P107" s="8"/>
      <c r="Q107" s="8"/>
      <c r="R107" s="8"/>
      <c r="S107" s="8"/>
      <c r="T107" s="6"/>
      <c r="U107" s="6"/>
      <c r="V107" s="6"/>
      <c r="W107" s="6"/>
      <c r="X107" s="8"/>
      <c r="Y107" s="6"/>
      <c r="Z107" s="6"/>
      <c r="AA107" s="7"/>
      <c r="AB107" s="9" t="str">
        <f aca="false">IF(N107="","",MAX(0,N107-AA107))</f>
        <v/>
      </c>
      <c r="AC107" s="10" t="str">
        <f aca="false">IF(N107="","",IF(N107=0,0,AA107/N107))</f>
        <v/>
      </c>
      <c r="AD107" s="8"/>
      <c r="AE107" s="6"/>
      <c r="AF107" s="6"/>
      <c r="AG107" s="6"/>
      <c r="AH107" s="6"/>
      <c r="AI107" s="2" t="str">
        <f aca="false">IF(A107="","",IF(V107="Yes",IF(U107="Yes",1,2),""))</f>
        <v/>
      </c>
      <c r="AJ107" s="8"/>
      <c r="AK107" s="2" t="str">
        <f aca="false">IF(A107="","",IF(AJ107="","",COUNTIFS($E$2:$E$201,E107,$AI$2:$AI$201,AI107,$AJ$2:$AJ$201,"&lt;="&amp;AJ107)))</f>
        <v/>
      </c>
      <c r="AL107" s="2" t="str">
        <f aca="false">IF(A107="","",IF(AH107&lt;&gt;"Confirmado","No",IF(AG107="CO/SO₂ simultáneos",IF(OR(COUNTIFS($E$2:$E$201,E107,$AH$2:$AH$201,"Confirmado",$AG$2:$AG$201,"CO/SO₂ simultáneos")=3,SUMIFS($J$2:$J$201,$E$2:$E$201,E107,$AH$2:$AH$201,"Confirmado",$AG$2:$AG$201,"CO/SO₂ simultáneos")=6),"Sí","No"),IF(OR(AND(F107&gt;0,SUMIFS($F$2:$F$201,$E$2:$E$201,E107,$AH$2:$AH$201,"Confirmado")=4),AND(G107&gt;0,SUMIFS($G$2:$G$201,$E$2:$E$201,E107,$AH$2:$AH$201,"Confirmado")=4),AND(H107&gt;0,SUMIFS($H$2:$H$201,$E$2:$E$201,E107,$AH$2:$AH$201,"Confirmado")=4),AND(I107&gt;0,SUMIFS($I$2:$I$201,$E$2:$E$201,E107,$AH$2:$AH$201,"Confirmado")=4)),"Sí","No"))))</f>
        <v/>
      </c>
      <c r="AM107" s="2" t="str">
        <f aca="false">IF(A107="","",IF(AH107&lt;&gt;"Confirmado","",IF(AG107="CO/SO₂ simultáneos",IF(OR(COUNTIFS($E$2:$E$201,E107,$AH$2:$AH$201,"Confirmado",$AG$2:$AG$201,"CO/SO₂ simultáneos")&gt;3,SUMIFS($J$2:$J$201,$E$2:$E$201,E107,$AH$2:$AH$201,"Confirmado",$AG$2:$AG$201,"CO/SO₂ simultáneos")&gt;6),"CAPACIDAD EXCEDIDA","OK"),IF(OR(SUMIFS($F$2:$F$201,$E$2:$E$201,E107,$AH$2:$AH$201,"Confirmado")&gt;4,SUMIFS($G$2:$G$201,$E$2:$E$201,E107,$AH$2:$AH$201,"Confirmado")&gt;4,SUMIFS($H$2:$H$201,$E$2:$E$201,E107,$AH$2:$AH$201,"Confirmado")&gt;4,SUMIFS($I$2:$I$201,$E$2:$E$201,E107,$AH$2:$AH$201,"Confirmado")&gt;4),"CAPACIDAD EXCEDIDA","OK"))))</f>
        <v/>
      </c>
      <c r="AN107" s="2" t="str">
        <f aca="true">IF(A107="","",IF(AND(AC107&lt;1,Q107&lt;TODAY(),AH107="Aceptado pendiente de pago/orden"),"PLAZO VENCIDO",IF(AND(AC107&lt;1,AD107&lt;&gt;"",AD107&lt;TODAY()),"VENCIDO","OK")))</f>
        <v/>
      </c>
      <c r="AO107" s="6"/>
      <c r="AP107" s="8"/>
      <c r="AQ107" s="6"/>
      <c r="AR107" s="6" t="s">
        <v>73</v>
      </c>
      <c r="AS107" s="6"/>
      <c r="AT107" s="6"/>
      <c r="AU107" s="6"/>
      <c r="AV107" s="6"/>
      <c r="AW107" s="8" t="str">
        <f aca="false">IF(AV107="","",AV107+60)</f>
        <v/>
      </c>
      <c r="AX107" s="11" t="str">
        <f aca="true">IF(A107="","",IF(AND(AV107&lt;&gt;"",AW107&lt;TODAY(),OR(AH107="Interés",AH107="Cotizado")),"Sí","No"))</f>
        <v/>
      </c>
      <c r="AY107" s="6"/>
      <c r="AZ107" s="6"/>
      <c r="BA107" s="6"/>
      <c r="BB107" s="6"/>
      <c r="BC107" s="4"/>
      <c r="BD107" s="12"/>
    </row>
    <row r="108" customFormat="false" ht="23.8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2" t="n">
        <f aca="false">SUM(F108:I108)</f>
        <v>0</v>
      </c>
      <c r="K108" s="6"/>
      <c r="L108" s="6"/>
      <c r="M108" s="7"/>
      <c r="N108" s="7"/>
      <c r="O108" s="8"/>
      <c r="P108" s="8"/>
      <c r="Q108" s="8"/>
      <c r="R108" s="8"/>
      <c r="S108" s="8"/>
      <c r="T108" s="6"/>
      <c r="U108" s="6"/>
      <c r="V108" s="6"/>
      <c r="W108" s="6"/>
      <c r="X108" s="8"/>
      <c r="Y108" s="6"/>
      <c r="Z108" s="6"/>
      <c r="AA108" s="7"/>
      <c r="AB108" s="9" t="str">
        <f aca="false">IF(N108="","",MAX(0,N108-AA108))</f>
        <v/>
      </c>
      <c r="AC108" s="10" t="str">
        <f aca="false">IF(N108="","",IF(N108=0,0,AA108/N108))</f>
        <v/>
      </c>
      <c r="AD108" s="8"/>
      <c r="AE108" s="6"/>
      <c r="AF108" s="6"/>
      <c r="AG108" s="6"/>
      <c r="AH108" s="6"/>
      <c r="AI108" s="2" t="str">
        <f aca="false">IF(A108="","",IF(V108="Yes",IF(U108="Yes",1,2),""))</f>
        <v/>
      </c>
      <c r="AJ108" s="8"/>
      <c r="AK108" s="2" t="str">
        <f aca="false">IF(A108="","",IF(AJ108="","",COUNTIFS($E$2:$E$201,E108,$AI$2:$AI$201,AI108,$AJ$2:$AJ$201,"&lt;="&amp;AJ108)))</f>
        <v/>
      </c>
      <c r="AL108" s="2" t="str">
        <f aca="false">IF(A108="","",IF(AH108&lt;&gt;"Confirmado","No",IF(AG108="CO/SO₂ simultáneos",IF(OR(COUNTIFS($E$2:$E$201,E108,$AH$2:$AH$201,"Confirmado",$AG$2:$AG$201,"CO/SO₂ simultáneos")=3,SUMIFS($J$2:$J$201,$E$2:$E$201,E108,$AH$2:$AH$201,"Confirmado",$AG$2:$AG$201,"CO/SO₂ simultáneos")=6),"Sí","No"),IF(OR(AND(F108&gt;0,SUMIFS($F$2:$F$201,$E$2:$E$201,E108,$AH$2:$AH$201,"Confirmado")=4),AND(G108&gt;0,SUMIFS($G$2:$G$201,$E$2:$E$201,E108,$AH$2:$AH$201,"Confirmado")=4),AND(H108&gt;0,SUMIFS($H$2:$H$201,$E$2:$E$201,E108,$AH$2:$AH$201,"Confirmado")=4),AND(I108&gt;0,SUMIFS($I$2:$I$201,$E$2:$E$201,E108,$AH$2:$AH$201,"Confirmado")=4)),"Sí","No"))))</f>
        <v/>
      </c>
      <c r="AM108" s="2" t="str">
        <f aca="false">IF(A108="","",IF(AH108&lt;&gt;"Confirmado","",IF(AG108="CO/SO₂ simultáneos",IF(OR(COUNTIFS($E$2:$E$201,E108,$AH$2:$AH$201,"Confirmado",$AG$2:$AG$201,"CO/SO₂ simultáneos")&gt;3,SUMIFS($J$2:$J$201,$E$2:$E$201,E108,$AH$2:$AH$201,"Confirmado",$AG$2:$AG$201,"CO/SO₂ simultáneos")&gt;6),"CAPACIDAD EXCEDIDA","OK"),IF(OR(SUMIFS($F$2:$F$201,$E$2:$E$201,E108,$AH$2:$AH$201,"Confirmado")&gt;4,SUMIFS($G$2:$G$201,$E$2:$E$201,E108,$AH$2:$AH$201,"Confirmado")&gt;4,SUMIFS($H$2:$H$201,$E$2:$E$201,E108,$AH$2:$AH$201,"Confirmado")&gt;4,SUMIFS($I$2:$I$201,$E$2:$E$201,E108,$AH$2:$AH$201,"Confirmado")&gt;4),"CAPACIDAD EXCEDIDA","OK"))))</f>
        <v/>
      </c>
      <c r="AN108" s="2" t="str">
        <f aca="true">IF(A108="","",IF(AND(AC108&lt;1,Q108&lt;TODAY(),AH108="Aceptado pendiente de pago/orden"),"PLAZO VENCIDO",IF(AND(AC108&lt;1,AD108&lt;&gt;"",AD108&lt;TODAY()),"VENCIDO","OK")))</f>
        <v/>
      </c>
      <c r="AO108" s="6"/>
      <c r="AP108" s="8"/>
      <c r="AQ108" s="6"/>
      <c r="AR108" s="6" t="s">
        <v>73</v>
      </c>
      <c r="AS108" s="6"/>
      <c r="AT108" s="6"/>
      <c r="AU108" s="6"/>
      <c r="AV108" s="6"/>
      <c r="AW108" s="8" t="str">
        <f aca="false">IF(AV108="","",AV108+60)</f>
        <v/>
      </c>
      <c r="AX108" s="11" t="str">
        <f aca="true">IF(A108="","",IF(AND(AV108&lt;&gt;"",AW108&lt;TODAY(),OR(AH108="Interés",AH108="Cotizado")),"Sí","No"))</f>
        <v/>
      </c>
      <c r="AY108" s="6"/>
      <c r="AZ108" s="6"/>
      <c r="BA108" s="6"/>
      <c r="BB108" s="6"/>
      <c r="BC108" s="4"/>
      <c r="BD108" s="12"/>
    </row>
    <row r="109" customFormat="false" ht="23.8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2" t="n">
        <f aca="false">SUM(F109:I109)</f>
        <v>0</v>
      </c>
      <c r="K109" s="6"/>
      <c r="L109" s="6"/>
      <c r="M109" s="7"/>
      <c r="N109" s="7"/>
      <c r="O109" s="8"/>
      <c r="P109" s="8"/>
      <c r="Q109" s="8"/>
      <c r="R109" s="8"/>
      <c r="S109" s="8"/>
      <c r="T109" s="6"/>
      <c r="U109" s="6"/>
      <c r="V109" s="6"/>
      <c r="W109" s="6"/>
      <c r="X109" s="8"/>
      <c r="Y109" s="6"/>
      <c r="Z109" s="6"/>
      <c r="AA109" s="7"/>
      <c r="AB109" s="9" t="str">
        <f aca="false">IF(N109="","",MAX(0,N109-AA109))</f>
        <v/>
      </c>
      <c r="AC109" s="10" t="str">
        <f aca="false">IF(N109="","",IF(N109=0,0,AA109/N109))</f>
        <v/>
      </c>
      <c r="AD109" s="8"/>
      <c r="AE109" s="6"/>
      <c r="AF109" s="6"/>
      <c r="AG109" s="6"/>
      <c r="AH109" s="6"/>
      <c r="AI109" s="2" t="str">
        <f aca="false">IF(A109="","",IF(V109="Yes",IF(U109="Yes",1,2),""))</f>
        <v/>
      </c>
      <c r="AJ109" s="8"/>
      <c r="AK109" s="2" t="str">
        <f aca="false">IF(A109="","",IF(AJ109="","",COUNTIFS($E$2:$E$201,E109,$AI$2:$AI$201,AI109,$AJ$2:$AJ$201,"&lt;="&amp;AJ109)))</f>
        <v/>
      </c>
      <c r="AL109" s="2" t="str">
        <f aca="false">IF(A109="","",IF(AH109&lt;&gt;"Confirmado","No",IF(AG109="CO/SO₂ simultáneos",IF(OR(COUNTIFS($E$2:$E$201,E109,$AH$2:$AH$201,"Confirmado",$AG$2:$AG$201,"CO/SO₂ simultáneos")=3,SUMIFS($J$2:$J$201,$E$2:$E$201,E109,$AH$2:$AH$201,"Confirmado",$AG$2:$AG$201,"CO/SO₂ simultáneos")=6),"Sí","No"),IF(OR(AND(F109&gt;0,SUMIFS($F$2:$F$201,$E$2:$E$201,E109,$AH$2:$AH$201,"Confirmado")=4),AND(G109&gt;0,SUMIFS($G$2:$G$201,$E$2:$E$201,E109,$AH$2:$AH$201,"Confirmado")=4),AND(H109&gt;0,SUMIFS($H$2:$H$201,$E$2:$E$201,E109,$AH$2:$AH$201,"Confirmado")=4),AND(I109&gt;0,SUMIFS($I$2:$I$201,$E$2:$E$201,E109,$AH$2:$AH$201,"Confirmado")=4)),"Sí","No"))))</f>
        <v/>
      </c>
      <c r="AM109" s="2" t="str">
        <f aca="false">IF(A109="","",IF(AH109&lt;&gt;"Confirmado","",IF(AG109="CO/SO₂ simultáneos",IF(OR(COUNTIFS($E$2:$E$201,E109,$AH$2:$AH$201,"Confirmado",$AG$2:$AG$201,"CO/SO₂ simultáneos")&gt;3,SUMIFS($J$2:$J$201,$E$2:$E$201,E109,$AH$2:$AH$201,"Confirmado",$AG$2:$AG$201,"CO/SO₂ simultáneos")&gt;6),"CAPACIDAD EXCEDIDA","OK"),IF(OR(SUMIFS($F$2:$F$201,$E$2:$E$201,E109,$AH$2:$AH$201,"Confirmado")&gt;4,SUMIFS($G$2:$G$201,$E$2:$E$201,E109,$AH$2:$AH$201,"Confirmado")&gt;4,SUMIFS($H$2:$H$201,$E$2:$E$201,E109,$AH$2:$AH$201,"Confirmado")&gt;4,SUMIFS($I$2:$I$201,$E$2:$E$201,E109,$AH$2:$AH$201,"Confirmado")&gt;4),"CAPACIDAD EXCEDIDA","OK"))))</f>
        <v/>
      </c>
      <c r="AN109" s="2" t="str">
        <f aca="true">IF(A109="","",IF(AND(AC109&lt;1,Q109&lt;TODAY(),AH109="Aceptado pendiente de pago/orden"),"PLAZO VENCIDO",IF(AND(AC109&lt;1,AD109&lt;&gt;"",AD109&lt;TODAY()),"VENCIDO","OK")))</f>
        <v/>
      </c>
      <c r="AO109" s="6"/>
      <c r="AP109" s="8"/>
      <c r="AQ109" s="6"/>
      <c r="AR109" s="6" t="s">
        <v>73</v>
      </c>
      <c r="AS109" s="6"/>
      <c r="AT109" s="6"/>
      <c r="AU109" s="6"/>
      <c r="AV109" s="6"/>
      <c r="AW109" s="8" t="str">
        <f aca="false">IF(AV109="","",AV109+60)</f>
        <v/>
      </c>
      <c r="AX109" s="11" t="str">
        <f aca="true">IF(A109="","",IF(AND(AV109&lt;&gt;"",AW109&lt;TODAY(),OR(AH109="Interés",AH109="Cotizado")),"Sí","No"))</f>
        <v/>
      </c>
      <c r="AY109" s="6"/>
      <c r="AZ109" s="6"/>
      <c r="BA109" s="6"/>
      <c r="BB109" s="6"/>
      <c r="BC109" s="4"/>
      <c r="BD109" s="12"/>
    </row>
    <row r="110" customFormat="false" ht="23.8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2" t="n">
        <f aca="false">SUM(F110:I110)</f>
        <v>0</v>
      </c>
      <c r="K110" s="6"/>
      <c r="L110" s="6"/>
      <c r="M110" s="7"/>
      <c r="N110" s="7"/>
      <c r="O110" s="8"/>
      <c r="P110" s="8"/>
      <c r="Q110" s="8"/>
      <c r="R110" s="8"/>
      <c r="S110" s="8"/>
      <c r="T110" s="6"/>
      <c r="U110" s="6"/>
      <c r="V110" s="6"/>
      <c r="W110" s="6"/>
      <c r="X110" s="8"/>
      <c r="Y110" s="6"/>
      <c r="Z110" s="6"/>
      <c r="AA110" s="7"/>
      <c r="AB110" s="9" t="str">
        <f aca="false">IF(N110="","",MAX(0,N110-AA110))</f>
        <v/>
      </c>
      <c r="AC110" s="10" t="str">
        <f aca="false">IF(N110="","",IF(N110=0,0,AA110/N110))</f>
        <v/>
      </c>
      <c r="AD110" s="8"/>
      <c r="AE110" s="6"/>
      <c r="AF110" s="6"/>
      <c r="AG110" s="6"/>
      <c r="AH110" s="6"/>
      <c r="AI110" s="2" t="str">
        <f aca="false">IF(A110="","",IF(V110="Yes",IF(U110="Yes",1,2),""))</f>
        <v/>
      </c>
      <c r="AJ110" s="8"/>
      <c r="AK110" s="2" t="str">
        <f aca="false">IF(A110="","",IF(AJ110="","",COUNTIFS($E$2:$E$201,E110,$AI$2:$AI$201,AI110,$AJ$2:$AJ$201,"&lt;="&amp;AJ110)))</f>
        <v/>
      </c>
      <c r="AL110" s="2" t="str">
        <f aca="false">IF(A110="","",IF(AH110&lt;&gt;"Confirmado","No",IF(AG110="CO/SO₂ simultáneos",IF(OR(COUNTIFS($E$2:$E$201,E110,$AH$2:$AH$201,"Confirmado",$AG$2:$AG$201,"CO/SO₂ simultáneos")=3,SUMIFS($J$2:$J$201,$E$2:$E$201,E110,$AH$2:$AH$201,"Confirmado",$AG$2:$AG$201,"CO/SO₂ simultáneos")=6),"Sí","No"),IF(OR(AND(F110&gt;0,SUMIFS($F$2:$F$201,$E$2:$E$201,E110,$AH$2:$AH$201,"Confirmado")=4),AND(G110&gt;0,SUMIFS($G$2:$G$201,$E$2:$E$201,E110,$AH$2:$AH$201,"Confirmado")=4),AND(H110&gt;0,SUMIFS($H$2:$H$201,$E$2:$E$201,E110,$AH$2:$AH$201,"Confirmado")=4),AND(I110&gt;0,SUMIFS($I$2:$I$201,$E$2:$E$201,E110,$AH$2:$AH$201,"Confirmado")=4)),"Sí","No"))))</f>
        <v/>
      </c>
      <c r="AM110" s="2" t="str">
        <f aca="false">IF(A110="","",IF(AH110&lt;&gt;"Confirmado","",IF(AG110="CO/SO₂ simultáneos",IF(OR(COUNTIFS($E$2:$E$201,E110,$AH$2:$AH$201,"Confirmado",$AG$2:$AG$201,"CO/SO₂ simultáneos")&gt;3,SUMIFS($J$2:$J$201,$E$2:$E$201,E110,$AH$2:$AH$201,"Confirmado",$AG$2:$AG$201,"CO/SO₂ simultáneos")&gt;6),"CAPACIDAD EXCEDIDA","OK"),IF(OR(SUMIFS($F$2:$F$201,$E$2:$E$201,E110,$AH$2:$AH$201,"Confirmado")&gt;4,SUMIFS($G$2:$G$201,$E$2:$E$201,E110,$AH$2:$AH$201,"Confirmado")&gt;4,SUMIFS($H$2:$H$201,$E$2:$E$201,E110,$AH$2:$AH$201,"Confirmado")&gt;4,SUMIFS($I$2:$I$201,$E$2:$E$201,E110,$AH$2:$AH$201,"Confirmado")&gt;4),"CAPACIDAD EXCEDIDA","OK"))))</f>
        <v/>
      </c>
      <c r="AN110" s="2" t="str">
        <f aca="true">IF(A110="","",IF(AND(AC110&lt;1,Q110&lt;TODAY(),AH110="Aceptado pendiente de pago/orden"),"PLAZO VENCIDO",IF(AND(AC110&lt;1,AD110&lt;&gt;"",AD110&lt;TODAY()),"VENCIDO","OK")))</f>
        <v/>
      </c>
      <c r="AO110" s="6"/>
      <c r="AP110" s="8"/>
      <c r="AQ110" s="6"/>
      <c r="AR110" s="6" t="s">
        <v>73</v>
      </c>
      <c r="AS110" s="6"/>
      <c r="AT110" s="6"/>
      <c r="AU110" s="6"/>
      <c r="AV110" s="6"/>
      <c r="AW110" s="8" t="str">
        <f aca="false">IF(AV110="","",AV110+60)</f>
        <v/>
      </c>
      <c r="AX110" s="11" t="str">
        <f aca="true">IF(A110="","",IF(AND(AV110&lt;&gt;"",AW110&lt;TODAY(),OR(AH110="Interés",AH110="Cotizado")),"Sí","No"))</f>
        <v/>
      </c>
      <c r="AY110" s="6"/>
      <c r="AZ110" s="6"/>
      <c r="BA110" s="6"/>
      <c r="BB110" s="6"/>
      <c r="BC110" s="4"/>
      <c r="BD110" s="12"/>
    </row>
    <row r="111" customFormat="false" ht="23.8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2" t="n">
        <f aca="false">SUM(F111:I111)</f>
        <v>0</v>
      </c>
      <c r="K111" s="6"/>
      <c r="L111" s="6"/>
      <c r="M111" s="7"/>
      <c r="N111" s="7"/>
      <c r="O111" s="8"/>
      <c r="P111" s="8"/>
      <c r="Q111" s="8"/>
      <c r="R111" s="8"/>
      <c r="S111" s="8"/>
      <c r="T111" s="6"/>
      <c r="U111" s="6"/>
      <c r="V111" s="6"/>
      <c r="W111" s="6"/>
      <c r="X111" s="8"/>
      <c r="Y111" s="6"/>
      <c r="Z111" s="6"/>
      <c r="AA111" s="7"/>
      <c r="AB111" s="9" t="str">
        <f aca="false">IF(N111="","",MAX(0,N111-AA111))</f>
        <v/>
      </c>
      <c r="AC111" s="10" t="str">
        <f aca="false">IF(N111="","",IF(N111=0,0,AA111/N111))</f>
        <v/>
      </c>
      <c r="AD111" s="8"/>
      <c r="AE111" s="6"/>
      <c r="AF111" s="6"/>
      <c r="AG111" s="6"/>
      <c r="AH111" s="6"/>
      <c r="AI111" s="2" t="str">
        <f aca="false">IF(A111="","",IF(V111="Yes",IF(U111="Yes",1,2),""))</f>
        <v/>
      </c>
      <c r="AJ111" s="8"/>
      <c r="AK111" s="2" t="str">
        <f aca="false">IF(A111="","",IF(AJ111="","",COUNTIFS($E$2:$E$201,E111,$AI$2:$AI$201,AI111,$AJ$2:$AJ$201,"&lt;="&amp;AJ111)))</f>
        <v/>
      </c>
      <c r="AL111" s="2" t="str">
        <f aca="false">IF(A111="","",IF(AH111&lt;&gt;"Confirmado","No",IF(AG111="CO/SO₂ simultáneos",IF(OR(COUNTIFS($E$2:$E$201,E111,$AH$2:$AH$201,"Confirmado",$AG$2:$AG$201,"CO/SO₂ simultáneos")=3,SUMIFS($J$2:$J$201,$E$2:$E$201,E111,$AH$2:$AH$201,"Confirmado",$AG$2:$AG$201,"CO/SO₂ simultáneos")=6),"Sí","No"),IF(OR(AND(F111&gt;0,SUMIFS($F$2:$F$201,$E$2:$E$201,E111,$AH$2:$AH$201,"Confirmado")=4),AND(G111&gt;0,SUMIFS($G$2:$G$201,$E$2:$E$201,E111,$AH$2:$AH$201,"Confirmado")=4),AND(H111&gt;0,SUMIFS($H$2:$H$201,$E$2:$E$201,E111,$AH$2:$AH$201,"Confirmado")=4),AND(I111&gt;0,SUMIFS($I$2:$I$201,$E$2:$E$201,E111,$AH$2:$AH$201,"Confirmado")=4)),"Sí","No"))))</f>
        <v/>
      </c>
      <c r="AM111" s="2" t="str">
        <f aca="false">IF(A111="","",IF(AH111&lt;&gt;"Confirmado","",IF(AG111="CO/SO₂ simultáneos",IF(OR(COUNTIFS($E$2:$E$201,E111,$AH$2:$AH$201,"Confirmado",$AG$2:$AG$201,"CO/SO₂ simultáneos")&gt;3,SUMIFS($J$2:$J$201,$E$2:$E$201,E111,$AH$2:$AH$201,"Confirmado",$AG$2:$AG$201,"CO/SO₂ simultáneos")&gt;6),"CAPACIDAD EXCEDIDA","OK"),IF(OR(SUMIFS($F$2:$F$201,$E$2:$E$201,E111,$AH$2:$AH$201,"Confirmado")&gt;4,SUMIFS($G$2:$G$201,$E$2:$E$201,E111,$AH$2:$AH$201,"Confirmado")&gt;4,SUMIFS($H$2:$H$201,$E$2:$E$201,E111,$AH$2:$AH$201,"Confirmado")&gt;4,SUMIFS($I$2:$I$201,$E$2:$E$201,E111,$AH$2:$AH$201,"Confirmado")&gt;4),"CAPACIDAD EXCEDIDA","OK"))))</f>
        <v/>
      </c>
      <c r="AN111" s="2" t="str">
        <f aca="true">IF(A111="","",IF(AND(AC111&lt;1,Q111&lt;TODAY(),AH111="Aceptado pendiente de pago/orden"),"PLAZO VENCIDO",IF(AND(AC111&lt;1,AD111&lt;&gt;"",AD111&lt;TODAY()),"VENCIDO","OK")))</f>
        <v/>
      </c>
      <c r="AO111" s="6"/>
      <c r="AP111" s="8"/>
      <c r="AQ111" s="6"/>
      <c r="AR111" s="6" t="s">
        <v>73</v>
      </c>
      <c r="AS111" s="6"/>
      <c r="AT111" s="6"/>
      <c r="AU111" s="6"/>
      <c r="AV111" s="6"/>
      <c r="AW111" s="8" t="str">
        <f aca="false">IF(AV111="","",AV111+60)</f>
        <v/>
      </c>
      <c r="AX111" s="11" t="str">
        <f aca="true">IF(A111="","",IF(AND(AV111&lt;&gt;"",AW111&lt;TODAY(),OR(AH111="Interés",AH111="Cotizado")),"Sí","No"))</f>
        <v/>
      </c>
      <c r="AY111" s="6"/>
      <c r="AZ111" s="6"/>
      <c r="BA111" s="6"/>
      <c r="BB111" s="6"/>
      <c r="BC111" s="4"/>
      <c r="BD111" s="12"/>
    </row>
    <row r="112" customFormat="false" ht="23.8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2" t="n">
        <f aca="false">SUM(F112:I112)</f>
        <v>0</v>
      </c>
      <c r="K112" s="6"/>
      <c r="L112" s="6"/>
      <c r="M112" s="7"/>
      <c r="N112" s="7"/>
      <c r="O112" s="8"/>
      <c r="P112" s="8"/>
      <c r="Q112" s="8"/>
      <c r="R112" s="8"/>
      <c r="S112" s="8"/>
      <c r="T112" s="6"/>
      <c r="U112" s="6"/>
      <c r="V112" s="6"/>
      <c r="W112" s="6"/>
      <c r="X112" s="8"/>
      <c r="Y112" s="6"/>
      <c r="Z112" s="6"/>
      <c r="AA112" s="7"/>
      <c r="AB112" s="9" t="str">
        <f aca="false">IF(N112="","",MAX(0,N112-AA112))</f>
        <v/>
      </c>
      <c r="AC112" s="10" t="str">
        <f aca="false">IF(N112="","",IF(N112=0,0,AA112/N112))</f>
        <v/>
      </c>
      <c r="AD112" s="8"/>
      <c r="AE112" s="6"/>
      <c r="AF112" s="6"/>
      <c r="AG112" s="6"/>
      <c r="AH112" s="6"/>
      <c r="AI112" s="2" t="str">
        <f aca="false">IF(A112="","",IF(V112="Yes",IF(U112="Yes",1,2),""))</f>
        <v/>
      </c>
      <c r="AJ112" s="8"/>
      <c r="AK112" s="2" t="str">
        <f aca="false">IF(A112="","",IF(AJ112="","",COUNTIFS($E$2:$E$201,E112,$AI$2:$AI$201,AI112,$AJ$2:$AJ$201,"&lt;="&amp;AJ112)))</f>
        <v/>
      </c>
      <c r="AL112" s="2" t="str">
        <f aca="false">IF(A112="","",IF(AH112&lt;&gt;"Confirmado","No",IF(AG112="CO/SO₂ simultáneos",IF(OR(COUNTIFS($E$2:$E$201,E112,$AH$2:$AH$201,"Confirmado",$AG$2:$AG$201,"CO/SO₂ simultáneos")=3,SUMIFS($J$2:$J$201,$E$2:$E$201,E112,$AH$2:$AH$201,"Confirmado",$AG$2:$AG$201,"CO/SO₂ simultáneos")=6),"Sí","No"),IF(OR(AND(F112&gt;0,SUMIFS($F$2:$F$201,$E$2:$E$201,E112,$AH$2:$AH$201,"Confirmado")=4),AND(G112&gt;0,SUMIFS($G$2:$G$201,$E$2:$E$201,E112,$AH$2:$AH$201,"Confirmado")=4),AND(H112&gt;0,SUMIFS($H$2:$H$201,$E$2:$E$201,E112,$AH$2:$AH$201,"Confirmado")=4),AND(I112&gt;0,SUMIFS($I$2:$I$201,$E$2:$E$201,E112,$AH$2:$AH$201,"Confirmado")=4)),"Sí","No"))))</f>
        <v/>
      </c>
      <c r="AM112" s="2" t="str">
        <f aca="false">IF(A112="","",IF(AH112&lt;&gt;"Confirmado","",IF(AG112="CO/SO₂ simultáneos",IF(OR(COUNTIFS($E$2:$E$201,E112,$AH$2:$AH$201,"Confirmado",$AG$2:$AG$201,"CO/SO₂ simultáneos")&gt;3,SUMIFS($J$2:$J$201,$E$2:$E$201,E112,$AH$2:$AH$201,"Confirmado",$AG$2:$AG$201,"CO/SO₂ simultáneos")&gt;6),"CAPACIDAD EXCEDIDA","OK"),IF(OR(SUMIFS($F$2:$F$201,$E$2:$E$201,E112,$AH$2:$AH$201,"Confirmado")&gt;4,SUMIFS($G$2:$G$201,$E$2:$E$201,E112,$AH$2:$AH$201,"Confirmado")&gt;4,SUMIFS($H$2:$H$201,$E$2:$E$201,E112,$AH$2:$AH$201,"Confirmado")&gt;4,SUMIFS($I$2:$I$201,$E$2:$E$201,E112,$AH$2:$AH$201,"Confirmado")&gt;4),"CAPACIDAD EXCEDIDA","OK"))))</f>
        <v/>
      </c>
      <c r="AN112" s="2" t="str">
        <f aca="true">IF(A112="","",IF(AND(AC112&lt;1,Q112&lt;TODAY(),AH112="Aceptado pendiente de pago/orden"),"PLAZO VENCIDO",IF(AND(AC112&lt;1,AD112&lt;&gt;"",AD112&lt;TODAY()),"VENCIDO","OK")))</f>
        <v/>
      </c>
      <c r="AO112" s="6"/>
      <c r="AP112" s="8"/>
      <c r="AQ112" s="6"/>
      <c r="AR112" s="6" t="s">
        <v>73</v>
      </c>
      <c r="AS112" s="6"/>
      <c r="AT112" s="6"/>
      <c r="AU112" s="6"/>
      <c r="AV112" s="6"/>
      <c r="AW112" s="8" t="str">
        <f aca="false">IF(AV112="","",AV112+60)</f>
        <v/>
      </c>
      <c r="AX112" s="11" t="str">
        <f aca="true">IF(A112="","",IF(AND(AV112&lt;&gt;"",AW112&lt;TODAY(),OR(AH112="Interés",AH112="Cotizado")),"Sí","No"))</f>
        <v/>
      </c>
      <c r="AY112" s="6"/>
      <c r="AZ112" s="6"/>
      <c r="BA112" s="6"/>
      <c r="BB112" s="6"/>
      <c r="BC112" s="4"/>
      <c r="BD112" s="12"/>
    </row>
    <row r="113" customFormat="false" ht="23.8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2" t="n">
        <f aca="false">SUM(F113:I113)</f>
        <v>0</v>
      </c>
      <c r="K113" s="6"/>
      <c r="L113" s="6"/>
      <c r="M113" s="7"/>
      <c r="N113" s="7"/>
      <c r="O113" s="8"/>
      <c r="P113" s="8"/>
      <c r="Q113" s="8"/>
      <c r="R113" s="8"/>
      <c r="S113" s="8"/>
      <c r="T113" s="6"/>
      <c r="U113" s="6"/>
      <c r="V113" s="6"/>
      <c r="W113" s="6"/>
      <c r="X113" s="8"/>
      <c r="Y113" s="6"/>
      <c r="Z113" s="6"/>
      <c r="AA113" s="7"/>
      <c r="AB113" s="9" t="str">
        <f aca="false">IF(N113="","",MAX(0,N113-AA113))</f>
        <v/>
      </c>
      <c r="AC113" s="10" t="str">
        <f aca="false">IF(N113="","",IF(N113=0,0,AA113/N113))</f>
        <v/>
      </c>
      <c r="AD113" s="8"/>
      <c r="AE113" s="6"/>
      <c r="AF113" s="6"/>
      <c r="AG113" s="6"/>
      <c r="AH113" s="6"/>
      <c r="AI113" s="2" t="str">
        <f aca="false">IF(A113="","",IF(V113="Yes",IF(U113="Yes",1,2),""))</f>
        <v/>
      </c>
      <c r="AJ113" s="8"/>
      <c r="AK113" s="2" t="str">
        <f aca="false">IF(A113="","",IF(AJ113="","",COUNTIFS($E$2:$E$201,E113,$AI$2:$AI$201,AI113,$AJ$2:$AJ$201,"&lt;="&amp;AJ113)))</f>
        <v/>
      </c>
      <c r="AL113" s="2" t="str">
        <f aca="false">IF(A113="","",IF(AH113&lt;&gt;"Confirmado","No",IF(AG113="CO/SO₂ simultáneos",IF(OR(COUNTIFS($E$2:$E$201,E113,$AH$2:$AH$201,"Confirmado",$AG$2:$AG$201,"CO/SO₂ simultáneos")=3,SUMIFS($J$2:$J$201,$E$2:$E$201,E113,$AH$2:$AH$201,"Confirmado",$AG$2:$AG$201,"CO/SO₂ simultáneos")=6),"Sí","No"),IF(OR(AND(F113&gt;0,SUMIFS($F$2:$F$201,$E$2:$E$201,E113,$AH$2:$AH$201,"Confirmado")=4),AND(G113&gt;0,SUMIFS($G$2:$G$201,$E$2:$E$201,E113,$AH$2:$AH$201,"Confirmado")=4),AND(H113&gt;0,SUMIFS($H$2:$H$201,$E$2:$E$201,E113,$AH$2:$AH$201,"Confirmado")=4),AND(I113&gt;0,SUMIFS($I$2:$I$201,$E$2:$E$201,E113,$AH$2:$AH$201,"Confirmado")=4)),"Sí","No"))))</f>
        <v/>
      </c>
      <c r="AM113" s="2" t="str">
        <f aca="false">IF(A113="","",IF(AH113&lt;&gt;"Confirmado","",IF(AG113="CO/SO₂ simultáneos",IF(OR(COUNTIFS($E$2:$E$201,E113,$AH$2:$AH$201,"Confirmado",$AG$2:$AG$201,"CO/SO₂ simultáneos")&gt;3,SUMIFS($J$2:$J$201,$E$2:$E$201,E113,$AH$2:$AH$201,"Confirmado",$AG$2:$AG$201,"CO/SO₂ simultáneos")&gt;6),"CAPACIDAD EXCEDIDA","OK"),IF(OR(SUMIFS($F$2:$F$201,$E$2:$E$201,E113,$AH$2:$AH$201,"Confirmado")&gt;4,SUMIFS($G$2:$G$201,$E$2:$E$201,E113,$AH$2:$AH$201,"Confirmado")&gt;4,SUMIFS($H$2:$H$201,$E$2:$E$201,E113,$AH$2:$AH$201,"Confirmado")&gt;4,SUMIFS($I$2:$I$201,$E$2:$E$201,E113,$AH$2:$AH$201,"Confirmado")&gt;4),"CAPACIDAD EXCEDIDA","OK"))))</f>
        <v/>
      </c>
      <c r="AN113" s="2" t="str">
        <f aca="true">IF(A113="","",IF(AND(AC113&lt;1,Q113&lt;TODAY(),AH113="Aceptado pendiente de pago/orden"),"PLAZO VENCIDO",IF(AND(AC113&lt;1,AD113&lt;&gt;"",AD113&lt;TODAY()),"VENCIDO","OK")))</f>
        <v/>
      </c>
      <c r="AO113" s="6"/>
      <c r="AP113" s="8"/>
      <c r="AQ113" s="6"/>
      <c r="AR113" s="6" t="s">
        <v>73</v>
      </c>
      <c r="AS113" s="6"/>
      <c r="AT113" s="6"/>
      <c r="AU113" s="6"/>
      <c r="AV113" s="6"/>
      <c r="AW113" s="8" t="str">
        <f aca="false">IF(AV113="","",AV113+60)</f>
        <v/>
      </c>
      <c r="AX113" s="11" t="str">
        <f aca="true">IF(A113="","",IF(AND(AV113&lt;&gt;"",AW113&lt;TODAY(),OR(AH113="Interés",AH113="Cotizado")),"Sí","No"))</f>
        <v/>
      </c>
      <c r="AY113" s="6"/>
      <c r="AZ113" s="6"/>
      <c r="BA113" s="6"/>
      <c r="BB113" s="6"/>
      <c r="BC113" s="4"/>
      <c r="BD113" s="12"/>
    </row>
    <row r="114" customFormat="false" ht="23.8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2" t="n">
        <f aca="false">SUM(F114:I114)</f>
        <v>0</v>
      </c>
      <c r="K114" s="6"/>
      <c r="L114" s="6"/>
      <c r="M114" s="7"/>
      <c r="N114" s="7"/>
      <c r="O114" s="8"/>
      <c r="P114" s="8"/>
      <c r="Q114" s="8"/>
      <c r="R114" s="8"/>
      <c r="S114" s="8"/>
      <c r="T114" s="6"/>
      <c r="U114" s="6"/>
      <c r="V114" s="6"/>
      <c r="W114" s="6"/>
      <c r="X114" s="8"/>
      <c r="Y114" s="6"/>
      <c r="Z114" s="6"/>
      <c r="AA114" s="7"/>
      <c r="AB114" s="9" t="str">
        <f aca="false">IF(N114="","",MAX(0,N114-AA114))</f>
        <v/>
      </c>
      <c r="AC114" s="10" t="str">
        <f aca="false">IF(N114="","",IF(N114=0,0,AA114/N114))</f>
        <v/>
      </c>
      <c r="AD114" s="8"/>
      <c r="AE114" s="6"/>
      <c r="AF114" s="6"/>
      <c r="AG114" s="6"/>
      <c r="AH114" s="6"/>
      <c r="AI114" s="2" t="str">
        <f aca="false">IF(A114="","",IF(V114="Yes",IF(U114="Yes",1,2),""))</f>
        <v/>
      </c>
      <c r="AJ114" s="8"/>
      <c r="AK114" s="2" t="str">
        <f aca="false">IF(A114="","",IF(AJ114="","",COUNTIFS($E$2:$E$201,E114,$AI$2:$AI$201,AI114,$AJ$2:$AJ$201,"&lt;="&amp;AJ114)))</f>
        <v/>
      </c>
      <c r="AL114" s="2" t="str">
        <f aca="false">IF(A114="","",IF(AH114&lt;&gt;"Confirmado","No",IF(AG114="CO/SO₂ simultáneos",IF(OR(COUNTIFS($E$2:$E$201,E114,$AH$2:$AH$201,"Confirmado",$AG$2:$AG$201,"CO/SO₂ simultáneos")=3,SUMIFS($J$2:$J$201,$E$2:$E$201,E114,$AH$2:$AH$201,"Confirmado",$AG$2:$AG$201,"CO/SO₂ simultáneos")=6),"Sí","No"),IF(OR(AND(F114&gt;0,SUMIFS($F$2:$F$201,$E$2:$E$201,E114,$AH$2:$AH$201,"Confirmado")=4),AND(G114&gt;0,SUMIFS($G$2:$G$201,$E$2:$E$201,E114,$AH$2:$AH$201,"Confirmado")=4),AND(H114&gt;0,SUMIFS($H$2:$H$201,$E$2:$E$201,E114,$AH$2:$AH$201,"Confirmado")=4),AND(I114&gt;0,SUMIFS($I$2:$I$201,$E$2:$E$201,E114,$AH$2:$AH$201,"Confirmado")=4)),"Sí","No"))))</f>
        <v/>
      </c>
      <c r="AM114" s="2" t="str">
        <f aca="false">IF(A114="","",IF(AH114&lt;&gt;"Confirmado","",IF(AG114="CO/SO₂ simultáneos",IF(OR(COUNTIFS($E$2:$E$201,E114,$AH$2:$AH$201,"Confirmado",$AG$2:$AG$201,"CO/SO₂ simultáneos")&gt;3,SUMIFS($J$2:$J$201,$E$2:$E$201,E114,$AH$2:$AH$201,"Confirmado",$AG$2:$AG$201,"CO/SO₂ simultáneos")&gt;6),"CAPACIDAD EXCEDIDA","OK"),IF(OR(SUMIFS($F$2:$F$201,$E$2:$E$201,E114,$AH$2:$AH$201,"Confirmado")&gt;4,SUMIFS($G$2:$G$201,$E$2:$E$201,E114,$AH$2:$AH$201,"Confirmado")&gt;4,SUMIFS($H$2:$H$201,$E$2:$E$201,E114,$AH$2:$AH$201,"Confirmado")&gt;4,SUMIFS($I$2:$I$201,$E$2:$E$201,E114,$AH$2:$AH$201,"Confirmado")&gt;4),"CAPACIDAD EXCEDIDA","OK"))))</f>
        <v/>
      </c>
      <c r="AN114" s="2" t="str">
        <f aca="true">IF(A114="","",IF(AND(AC114&lt;1,Q114&lt;TODAY(),AH114="Aceptado pendiente de pago/orden"),"PLAZO VENCIDO",IF(AND(AC114&lt;1,AD114&lt;&gt;"",AD114&lt;TODAY()),"VENCIDO","OK")))</f>
        <v/>
      </c>
      <c r="AO114" s="6"/>
      <c r="AP114" s="8"/>
      <c r="AQ114" s="6"/>
      <c r="AR114" s="6" t="s">
        <v>73</v>
      </c>
      <c r="AS114" s="6"/>
      <c r="AT114" s="6"/>
      <c r="AU114" s="6"/>
      <c r="AV114" s="6"/>
      <c r="AW114" s="8" t="str">
        <f aca="false">IF(AV114="","",AV114+60)</f>
        <v/>
      </c>
      <c r="AX114" s="11" t="str">
        <f aca="true">IF(A114="","",IF(AND(AV114&lt;&gt;"",AW114&lt;TODAY(),OR(AH114="Interés",AH114="Cotizado")),"Sí","No"))</f>
        <v/>
      </c>
      <c r="AY114" s="6"/>
      <c r="AZ114" s="6"/>
      <c r="BA114" s="6"/>
      <c r="BB114" s="6"/>
      <c r="BC114" s="4"/>
      <c r="BD114" s="12"/>
    </row>
    <row r="115" customFormat="false" ht="23.8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2" t="n">
        <f aca="false">SUM(F115:I115)</f>
        <v>0</v>
      </c>
      <c r="K115" s="6"/>
      <c r="L115" s="6"/>
      <c r="M115" s="7"/>
      <c r="N115" s="7"/>
      <c r="O115" s="8"/>
      <c r="P115" s="8"/>
      <c r="Q115" s="8"/>
      <c r="R115" s="8"/>
      <c r="S115" s="8"/>
      <c r="T115" s="6"/>
      <c r="U115" s="6"/>
      <c r="V115" s="6"/>
      <c r="W115" s="6"/>
      <c r="X115" s="8"/>
      <c r="Y115" s="6"/>
      <c r="Z115" s="6"/>
      <c r="AA115" s="7"/>
      <c r="AB115" s="9" t="str">
        <f aca="false">IF(N115="","",MAX(0,N115-AA115))</f>
        <v/>
      </c>
      <c r="AC115" s="10" t="str">
        <f aca="false">IF(N115="","",IF(N115=0,0,AA115/N115))</f>
        <v/>
      </c>
      <c r="AD115" s="8"/>
      <c r="AE115" s="6"/>
      <c r="AF115" s="6"/>
      <c r="AG115" s="6"/>
      <c r="AH115" s="6"/>
      <c r="AI115" s="2" t="str">
        <f aca="false">IF(A115="","",IF(V115="Yes",IF(U115="Yes",1,2),""))</f>
        <v/>
      </c>
      <c r="AJ115" s="8"/>
      <c r="AK115" s="2" t="str">
        <f aca="false">IF(A115="","",IF(AJ115="","",COUNTIFS($E$2:$E$201,E115,$AI$2:$AI$201,AI115,$AJ$2:$AJ$201,"&lt;="&amp;AJ115)))</f>
        <v/>
      </c>
      <c r="AL115" s="2" t="str">
        <f aca="false">IF(A115="","",IF(AH115&lt;&gt;"Confirmado","No",IF(AG115="CO/SO₂ simultáneos",IF(OR(COUNTIFS($E$2:$E$201,E115,$AH$2:$AH$201,"Confirmado",$AG$2:$AG$201,"CO/SO₂ simultáneos")=3,SUMIFS($J$2:$J$201,$E$2:$E$201,E115,$AH$2:$AH$201,"Confirmado",$AG$2:$AG$201,"CO/SO₂ simultáneos")=6),"Sí","No"),IF(OR(AND(F115&gt;0,SUMIFS($F$2:$F$201,$E$2:$E$201,E115,$AH$2:$AH$201,"Confirmado")=4),AND(G115&gt;0,SUMIFS($G$2:$G$201,$E$2:$E$201,E115,$AH$2:$AH$201,"Confirmado")=4),AND(H115&gt;0,SUMIFS($H$2:$H$201,$E$2:$E$201,E115,$AH$2:$AH$201,"Confirmado")=4),AND(I115&gt;0,SUMIFS($I$2:$I$201,$E$2:$E$201,E115,$AH$2:$AH$201,"Confirmado")=4)),"Sí","No"))))</f>
        <v/>
      </c>
      <c r="AM115" s="2" t="str">
        <f aca="false">IF(A115="","",IF(AH115&lt;&gt;"Confirmado","",IF(AG115="CO/SO₂ simultáneos",IF(OR(COUNTIFS($E$2:$E$201,E115,$AH$2:$AH$201,"Confirmado",$AG$2:$AG$201,"CO/SO₂ simultáneos")&gt;3,SUMIFS($J$2:$J$201,$E$2:$E$201,E115,$AH$2:$AH$201,"Confirmado",$AG$2:$AG$201,"CO/SO₂ simultáneos")&gt;6),"CAPACIDAD EXCEDIDA","OK"),IF(OR(SUMIFS($F$2:$F$201,$E$2:$E$201,E115,$AH$2:$AH$201,"Confirmado")&gt;4,SUMIFS($G$2:$G$201,$E$2:$E$201,E115,$AH$2:$AH$201,"Confirmado")&gt;4,SUMIFS($H$2:$H$201,$E$2:$E$201,E115,$AH$2:$AH$201,"Confirmado")&gt;4,SUMIFS($I$2:$I$201,$E$2:$E$201,E115,$AH$2:$AH$201,"Confirmado")&gt;4),"CAPACIDAD EXCEDIDA","OK"))))</f>
        <v/>
      </c>
      <c r="AN115" s="2" t="str">
        <f aca="true">IF(A115="","",IF(AND(AC115&lt;1,Q115&lt;TODAY(),AH115="Aceptado pendiente de pago/orden"),"PLAZO VENCIDO",IF(AND(AC115&lt;1,AD115&lt;&gt;"",AD115&lt;TODAY()),"VENCIDO","OK")))</f>
        <v/>
      </c>
      <c r="AO115" s="6"/>
      <c r="AP115" s="8"/>
      <c r="AQ115" s="6"/>
      <c r="AR115" s="6" t="s">
        <v>73</v>
      </c>
      <c r="AS115" s="6"/>
      <c r="AT115" s="6"/>
      <c r="AU115" s="6"/>
      <c r="AV115" s="6"/>
      <c r="AW115" s="8" t="str">
        <f aca="false">IF(AV115="","",AV115+60)</f>
        <v/>
      </c>
      <c r="AX115" s="11" t="str">
        <f aca="true">IF(A115="","",IF(AND(AV115&lt;&gt;"",AW115&lt;TODAY(),OR(AH115="Interés",AH115="Cotizado")),"Sí","No"))</f>
        <v/>
      </c>
      <c r="AY115" s="6"/>
      <c r="AZ115" s="6"/>
      <c r="BA115" s="6"/>
      <c r="BB115" s="6"/>
      <c r="BC115" s="4"/>
      <c r="BD115" s="12"/>
    </row>
    <row r="116" customFormat="false" ht="23.8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2" t="n">
        <f aca="false">SUM(F116:I116)</f>
        <v>0</v>
      </c>
      <c r="K116" s="6"/>
      <c r="L116" s="6"/>
      <c r="M116" s="7"/>
      <c r="N116" s="7"/>
      <c r="O116" s="8"/>
      <c r="P116" s="8"/>
      <c r="Q116" s="8"/>
      <c r="R116" s="8"/>
      <c r="S116" s="8"/>
      <c r="T116" s="6"/>
      <c r="U116" s="6"/>
      <c r="V116" s="6"/>
      <c r="W116" s="6"/>
      <c r="X116" s="8"/>
      <c r="Y116" s="6"/>
      <c r="Z116" s="6"/>
      <c r="AA116" s="7"/>
      <c r="AB116" s="9" t="str">
        <f aca="false">IF(N116="","",MAX(0,N116-AA116))</f>
        <v/>
      </c>
      <c r="AC116" s="10" t="str">
        <f aca="false">IF(N116="","",IF(N116=0,0,AA116/N116))</f>
        <v/>
      </c>
      <c r="AD116" s="8"/>
      <c r="AE116" s="6"/>
      <c r="AF116" s="6"/>
      <c r="AG116" s="6"/>
      <c r="AH116" s="6"/>
      <c r="AI116" s="2" t="str">
        <f aca="false">IF(A116="","",IF(V116="Yes",IF(U116="Yes",1,2),""))</f>
        <v/>
      </c>
      <c r="AJ116" s="8"/>
      <c r="AK116" s="2" t="str">
        <f aca="false">IF(A116="","",IF(AJ116="","",COUNTIFS($E$2:$E$201,E116,$AI$2:$AI$201,AI116,$AJ$2:$AJ$201,"&lt;="&amp;AJ116)))</f>
        <v/>
      </c>
      <c r="AL116" s="2" t="str">
        <f aca="false">IF(A116="","",IF(AH116&lt;&gt;"Confirmado","No",IF(AG116="CO/SO₂ simultáneos",IF(OR(COUNTIFS($E$2:$E$201,E116,$AH$2:$AH$201,"Confirmado",$AG$2:$AG$201,"CO/SO₂ simultáneos")=3,SUMIFS($J$2:$J$201,$E$2:$E$201,E116,$AH$2:$AH$201,"Confirmado",$AG$2:$AG$201,"CO/SO₂ simultáneos")=6),"Sí","No"),IF(OR(AND(F116&gt;0,SUMIFS($F$2:$F$201,$E$2:$E$201,E116,$AH$2:$AH$201,"Confirmado")=4),AND(G116&gt;0,SUMIFS($G$2:$G$201,$E$2:$E$201,E116,$AH$2:$AH$201,"Confirmado")=4),AND(H116&gt;0,SUMIFS($H$2:$H$201,$E$2:$E$201,E116,$AH$2:$AH$201,"Confirmado")=4),AND(I116&gt;0,SUMIFS($I$2:$I$201,$E$2:$E$201,E116,$AH$2:$AH$201,"Confirmado")=4)),"Sí","No"))))</f>
        <v/>
      </c>
      <c r="AM116" s="2" t="str">
        <f aca="false">IF(A116="","",IF(AH116&lt;&gt;"Confirmado","",IF(AG116="CO/SO₂ simultáneos",IF(OR(COUNTIFS($E$2:$E$201,E116,$AH$2:$AH$201,"Confirmado",$AG$2:$AG$201,"CO/SO₂ simultáneos")&gt;3,SUMIFS($J$2:$J$201,$E$2:$E$201,E116,$AH$2:$AH$201,"Confirmado",$AG$2:$AG$201,"CO/SO₂ simultáneos")&gt;6),"CAPACIDAD EXCEDIDA","OK"),IF(OR(SUMIFS($F$2:$F$201,$E$2:$E$201,E116,$AH$2:$AH$201,"Confirmado")&gt;4,SUMIFS($G$2:$G$201,$E$2:$E$201,E116,$AH$2:$AH$201,"Confirmado")&gt;4,SUMIFS($H$2:$H$201,$E$2:$E$201,E116,$AH$2:$AH$201,"Confirmado")&gt;4,SUMIFS($I$2:$I$201,$E$2:$E$201,E116,$AH$2:$AH$201,"Confirmado")&gt;4),"CAPACIDAD EXCEDIDA","OK"))))</f>
        <v/>
      </c>
      <c r="AN116" s="2" t="str">
        <f aca="true">IF(A116="","",IF(AND(AC116&lt;1,Q116&lt;TODAY(),AH116="Aceptado pendiente de pago/orden"),"PLAZO VENCIDO",IF(AND(AC116&lt;1,AD116&lt;&gt;"",AD116&lt;TODAY()),"VENCIDO","OK")))</f>
        <v/>
      </c>
      <c r="AO116" s="6"/>
      <c r="AP116" s="8"/>
      <c r="AQ116" s="6"/>
      <c r="AR116" s="6" t="s">
        <v>73</v>
      </c>
      <c r="AS116" s="6"/>
      <c r="AT116" s="6"/>
      <c r="AU116" s="6"/>
      <c r="AV116" s="6"/>
      <c r="AW116" s="8" t="str">
        <f aca="false">IF(AV116="","",AV116+60)</f>
        <v/>
      </c>
      <c r="AX116" s="11" t="str">
        <f aca="true">IF(A116="","",IF(AND(AV116&lt;&gt;"",AW116&lt;TODAY(),OR(AH116="Interés",AH116="Cotizado")),"Sí","No"))</f>
        <v/>
      </c>
      <c r="AY116" s="6"/>
      <c r="AZ116" s="6"/>
      <c r="BA116" s="6"/>
      <c r="BB116" s="6"/>
      <c r="BC116" s="4"/>
      <c r="BD116" s="12"/>
    </row>
    <row r="117" customFormat="false" ht="23.8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2" t="n">
        <f aca="false">SUM(F117:I117)</f>
        <v>0</v>
      </c>
      <c r="K117" s="6"/>
      <c r="L117" s="6"/>
      <c r="M117" s="7"/>
      <c r="N117" s="7"/>
      <c r="O117" s="8"/>
      <c r="P117" s="8"/>
      <c r="Q117" s="8"/>
      <c r="R117" s="8"/>
      <c r="S117" s="8"/>
      <c r="T117" s="6"/>
      <c r="U117" s="6"/>
      <c r="V117" s="6"/>
      <c r="W117" s="6"/>
      <c r="X117" s="8"/>
      <c r="Y117" s="6"/>
      <c r="Z117" s="6"/>
      <c r="AA117" s="7"/>
      <c r="AB117" s="9" t="str">
        <f aca="false">IF(N117="","",MAX(0,N117-AA117))</f>
        <v/>
      </c>
      <c r="AC117" s="10" t="str">
        <f aca="false">IF(N117="","",IF(N117=0,0,AA117/N117))</f>
        <v/>
      </c>
      <c r="AD117" s="8"/>
      <c r="AE117" s="6"/>
      <c r="AF117" s="6"/>
      <c r="AG117" s="6"/>
      <c r="AH117" s="6"/>
      <c r="AI117" s="2" t="str">
        <f aca="false">IF(A117="","",IF(V117="Yes",IF(U117="Yes",1,2),""))</f>
        <v/>
      </c>
      <c r="AJ117" s="8"/>
      <c r="AK117" s="2" t="str">
        <f aca="false">IF(A117="","",IF(AJ117="","",COUNTIFS($E$2:$E$201,E117,$AI$2:$AI$201,AI117,$AJ$2:$AJ$201,"&lt;="&amp;AJ117)))</f>
        <v/>
      </c>
      <c r="AL117" s="2" t="str">
        <f aca="false">IF(A117="","",IF(AH117&lt;&gt;"Confirmado","No",IF(AG117="CO/SO₂ simultáneos",IF(OR(COUNTIFS($E$2:$E$201,E117,$AH$2:$AH$201,"Confirmado",$AG$2:$AG$201,"CO/SO₂ simultáneos")=3,SUMIFS($J$2:$J$201,$E$2:$E$201,E117,$AH$2:$AH$201,"Confirmado",$AG$2:$AG$201,"CO/SO₂ simultáneos")=6),"Sí","No"),IF(OR(AND(F117&gt;0,SUMIFS($F$2:$F$201,$E$2:$E$201,E117,$AH$2:$AH$201,"Confirmado")=4),AND(G117&gt;0,SUMIFS($G$2:$G$201,$E$2:$E$201,E117,$AH$2:$AH$201,"Confirmado")=4),AND(H117&gt;0,SUMIFS($H$2:$H$201,$E$2:$E$201,E117,$AH$2:$AH$201,"Confirmado")=4),AND(I117&gt;0,SUMIFS($I$2:$I$201,$E$2:$E$201,E117,$AH$2:$AH$201,"Confirmado")=4)),"Sí","No"))))</f>
        <v/>
      </c>
      <c r="AM117" s="2" t="str">
        <f aca="false">IF(A117="","",IF(AH117&lt;&gt;"Confirmado","",IF(AG117="CO/SO₂ simultáneos",IF(OR(COUNTIFS($E$2:$E$201,E117,$AH$2:$AH$201,"Confirmado",$AG$2:$AG$201,"CO/SO₂ simultáneos")&gt;3,SUMIFS($J$2:$J$201,$E$2:$E$201,E117,$AH$2:$AH$201,"Confirmado",$AG$2:$AG$201,"CO/SO₂ simultáneos")&gt;6),"CAPACIDAD EXCEDIDA","OK"),IF(OR(SUMIFS($F$2:$F$201,$E$2:$E$201,E117,$AH$2:$AH$201,"Confirmado")&gt;4,SUMIFS($G$2:$G$201,$E$2:$E$201,E117,$AH$2:$AH$201,"Confirmado")&gt;4,SUMIFS($H$2:$H$201,$E$2:$E$201,E117,$AH$2:$AH$201,"Confirmado")&gt;4,SUMIFS($I$2:$I$201,$E$2:$E$201,E117,$AH$2:$AH$201,"Confirmado")&gt;4),"CAPACIDAD EXCEDIDA","OK"))))</f>
        <v/>
      </c>
      <c r="AN117" s="2" t="str">
        <f aca="true">IF(A117="","",IF(AND(AC117&lt;1,Q117&lt;TODAY(),AH117="Aceptado pendiente de pago/orden"),"PLAZO VENCIDO",IF(AND(AC117&lt;1,AD117&lt;&gt;"",AD117&lt;TODAY()),"VENCIDO","OK")))</f>
        <v/>
      </c>
      <c r="AO117" s="6"/>
      <c r="AP117" s="8"/>
      <c r="AQ117" s="6"/>
      <c r="AR117" s="6" t="s">
        <v>73</v>
      </c>
      <c r="AS117" s="6"/>
      <c r="AT117" s="6"/>
      <c r="AU117" s="6"/>
      <c r="AV117" s="6"/>
      <c r="AW117" s="8" t="str">
        <f aca="false">IF(AV117="","",AV117+60)</f>
        <v/>
      </c>
      <c r="AX117" s="11" t="str">
        <f aca="true">IF(A117="","",IF(AND(AV117&lt;&gt;"",AW117&lt;TODAY(),OR(AH117="Interés",AH117="Cotizado")),"Sí","No"))</f>
        <v/>
      </c>
      <c r="AY117" s="6"/>
      <c r="AZ117" s="6"/>
      <c r="BA117" s="6"/>
      <c r="BB117" s="6"/>
      <c r="BC117" s="4"/>
      <c r="BD117" s="12"/>
    </row>
    <row r="118" customFormat="false" ht="23.8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2" t="n">
        <f aca="false">SUM(F118:I118)</f>
        <v>0</v>
      </c>
      <c r="K118" s="6"/>
      <c r="L118" s="6"/>
      <c r="M118" s="7"/>
      <c r="N118" s="7"/>
      <c r="O118" s="8"/>
      <c r="P118" s="8"/>
      <c r="Q118" s="8"/>
      <c r="R118" s="8"/>
      <c r="S118" s="8"/>
      <c r="T118" s="6"/>
      <c r="U118" s="6"/>
      <c r="V118" s="6"/>
      <c r="W118" s="6"/>
      <c r="X118" s="8"/>
      <c r="Y118" s="6"/>
      <c r="Z118" s="6"/>
      <c r="AA118" s="7"/>
      <c r="AB118" s="9" t="str">
        <f aca="false">IF(N118="","",MAX(0,N118-AA118))</f>
        <v/>
      </c>
      <c r="AC118" s="10" t="str">
        <f aca="false">IF(N118="","",IF(N118=0,0,AA118/N118))</f>
        <v/>
      </c>
      <c r="AD118" s="8"/>
      <c r="AE118" s="6"/>
      <c r="AF118" s="6"/>
      <c r="AG118" s="6"/>
      <c r="AH118" s="6"/>
      <c r="AI118" s="2" t="str">
        <f aca="false">IF(A118="","",IF(V118="Yes",IF(U118="Yes",1,2),""))</f>
        <v/>
      </c>
      <c r="AJ118" s="8"/>
      <c r="AK118" s="2" t="str">
        <f aca="false">IF(A118="","",IF(AJ118="","",COUNTIFS($E$2:$E$201,E118,$AI$2:$AI$201,AI118,$AJ$2:$AJ$201,"&lt;="&amp;AJ118)))</f>
        <v/>
      </c>
      <c r="AL118" s="2" t="str">
        <f aca="false">IF(A118="","",IF(AH118&lt;&gt;"Confirmado","No",IF(AG118="CO/SO₂ simultáneos",IF(OR(COUNTIFS($E$2:$E$201,E118,$AH$2:$AH$201,"Confirmado",$AG$2:$AG$201,"CO/SO₂ simultáneos")=3,SUMIFS($J$2:$J$201,$E$2:$E$201,E118,$AH$2:$AH$201,"Confirmado",$AG$2:$AG$201,"CO/SO₂ simultáneos")=6),"Sí","No"),IF(OR(AND(F118&gt;0,SUMIFS($F$2:$F$201,$E$2:$E$201,E118,$AH$2:$AH$201,"Confirmado")=4),AND(G118&gt;0,SUMIFS($G$2:$G$201,$E$2:$E$201,E118,$AH$2:$AH$201,"Confirmado")=4),AND(H118&gt;0,SUMIFS($H$2:$H$201,$E$2:$E$201,E118,$AH$2:$AH$201,"Confirmado")=4),AND(I118&gt;0,SUMIFS($I$2:$I$201,$E$2:$E$201,E118,$AH$2:$AH$201,"Confirmado")=4)),"Sí","No"))))</f>
        <v/>
      </c>
      <c r="AM118" s="2" t="str">
        <f aca="false">IF(A118="","",IF(AH118&lt;&gt;"Confirmado","",IF(AG118="CO/SO₂ simultáneos",IF(OR(COUNTIFS($E$2:$E$201,E118,$AH$2:$AH$201,"Confirmado",$AG$2:$AG$201,"CO/SO₂ simultáneos")&gt;3,SUMIFS($J$2:$J$201,$E$2:$E$201,E118,$AH$2:$AH$201,"Confirmado",$AG$2:$AG$201,"CO/SO₂ simultáneos")&gt;6),"CAPACIDAD EXCEDIDA","OK"),IF(OR(SUMIFS($F$2:$F$201,$E$2:$E$201,E118,$AH$2:$AH$201,"Confirmado")&gt;4,SUMIFS($G$2:$G$201,$E$2:$E$201,E118,$AH$2:$AH$201,"Confirmado")&gt;4,SUMIFS($H$2:$H$201,$E$2:$E$201,E118,$AH$2:$AH$201,"Confirmado")&gt;4,SUMIFS($I$2:$I$201,$E$2:$E$201,E118,$AH$2:$AH$201,"Confirmado")&gt;4),"CAPACIDAD EXCEDIDA","OK"))))</f>
        <v/>
      </c>
      <c r="AN118" s="2" t="str">
        <f aca="true">IF(A118="","",IF(AND(AC118&lt;1,Q118&lt;TODAY(),AH118="Aceptado pendiente de pago/orden"),"PLAZO VENCIDO",IF(AND(AC118&lt;1,AD118&lt;&gt;"",AD118&lt;TODAY()),"VENCIDO","OK")))</f>
        <v/>
      </c>
      <c r="AO118" s="6"/>
      <c r="AP118" s="8"/>
      <c r="AQ118" s="6"/>
      <c r="AR118" s="6" t="s">
        <v>73</v>
      </c>
      <c r="AS118" s="6"/>
      <c r="AT118" s="6"/>
      <c r="AU118" s="6"/>
      <c r="AV118" s="6"/>
      <c r="AW118" s="8" t="str">
        <f aca="false">IF(AV118="","",AV118+60)</f>
        <v/>
      </c>
      <c r="AX118" s="11" t="str">
        <f aca="true">IF(A118="","",IF(AND(AV118&lt;&gt;"",AW118&lt;TODAY(),OR(AH118="Interés",AH118="Cotizado")),"Sí","No"))</f>
        <v/>
      </c>
      <c r="AY118" s="6"/>
      <c r="AZ118" s="6"/>
      <c r="BA118" s="6"/>
      <c r="BB118" s="6"/>
      <c r="BC118" s="4"/>
      <c r="BD118" s="12"/>
    </row>
    <row r="119" customFormat="false" ht="23.8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2" t="n">
        <f aca="false">SUM(F119:I119)</f>
        <v>0</v>
      </c>
      <c r="K119" s="6"/>
      <c r="L119" s="6"/>
      <c r="M119" s="7"/>
      <c r="N119" s="7"/>
      <c r="O119" s="8"/>
      <c r="P119" s="8"/>
      <c r="Q119" s="8"/>
      <c r="R119" s="8"/>
      <c r="S119" s="8"/>
      <c r="T119" s="6"/>
      <c r="U119" s="6"/>
      <c r="V119" s="6"/>
      <c r="W119" s="6"/>
      <c r="X119" s="8"/>
      <c r="Y119" s="6"/>
      <c r="Z119" s="6"/>
      <c r="AA119" s="7"/>
      <c r="AB119" s="9" t="str">
        <f aca="false">IF(N119="","",MAX(0,N119-AA119))</f>
        <v/>
      </c>
      <c r="AC119" s="10" t="str">
        <f aca="false">IF(N119="","",IF(N119=0,0,AA119/N119))</f>
        <v/>
      </c>
      <c r="AD119" s="8"/>
      <c r="AE119" s="6"/>
      <c r="AF119" s="6"/>
      <c r="AG119" s="6"/>
      <c r="AH119" s="6"/>
      <c r="AI119" s="2" t="str">
        <f aca="false">IF(A119="","",IF(V119="Yes",IF(U119="Yes",1,2),""))</f>
        <v/>
      </c>
      <c r="AJ119" s="8"/>
      <c r="AK119" s="2" t="str">
        <f aca="false">IF(A119="","",IF(AJ119="","",COUNTIFS($E$2:$E$201,E119,$AI$2:$AI$201,AI119,$AJ$2:$AJ$201,"&lt;="&amp;AJ119)))</f>
        <v/>
      </c>
      <c r="AL119" s="2" t="str">
        <f aca="false">IF(A119="","",IF(AH119&lt;&gt;"Confirmado","No",IF(AG119="CO/SO₂ simultáneos",IF(OR(COUNTIFS($E$2:$E$201,E119,$AH$2:$AH$201,"Confirmado",$AG$2:$AG$201,"CO/SO₂ simultáneos")=3,SUMIFS($J$2:$J$201,$E$2:$E$201,E119,$AH$2:$AH$201,"Confirmado",$AG$2:$AG$201,"CO/SO₂ simultáneos")=6),"Sí","No"),IF(OR(AND(F119&gt;0,SUMIFS($F$2:$F$201,$E$2:$E$201,E119,$AH$2:$AH$201,"Confirmado")=4),AND(G119&gt;0,SUMIFS($G$2:$G$201,$E$2:$E$201,E119,$AH$2:$AH$201,"Confirmado")=4),AND(H119&gt;0,SUMIFS($H$2:$H$201,$E$2:$E$201,E119,$AH$2:$AH$201,"Confirmado")=4),AND(I119&gt;0,SUMIFS($I$2:$I$201,$E$2:$E$201,E119,$AH$2:$AH$201,"Confirmado")=4)),"Sí","No"))))</f>
        <v/>
      </c>
      <c r="AM119" s="2" t="str">
        <f aca="false">IF(A119="","",IF(AH119&lt;&gt;"Confirmado","",IF(AG119="CO/SO₂ simultáneos",IF(OR(COUNTIFS($E$2:$E$201,E119,$AH$2:$AH$201,"Confirmado",$AG$2:$AG$201,"CO/SO₂ simultáneos")&gt;3,SUMIFS($J$2:$J$201,$E$2:$E$201,E119,$AH$2:$AH$201,"Confirmado",$AG$2:$AG$201,"CO/SO₂ simultáneos")&gt;6),"CAPACIDAD EXCEDIDA","OK"),IF(OR(SUMIFS($F$2:$F$201,$E$2:$E$201,E119,$AH$2:$AH$201,"Confirmado")&gt;4,SUMIFS($G$2:$G$201,$E$2:$E$201,E119,$AH$2:$AH$201,"Confirmado")&gt;4,SUMIFS($H$2:$H$201,$E$2:$E$201,E119,$AH$2:$AH$201,"Confirmado")&gt;4,SUMIFS($I$2:$I$201,$E$2:$E$201,E119,$AH$2:$AH$201,"Confirmado")&gt;4),"CAPACIDAD EXCEDIDA","OK"))))</f>
        <v/>
      </c>
      <c r="AN119" s="2" t="str">
        <f aca="true">IF(A119="","",IF(AND(AC119&lt;1,Q119&lt;TODAY(),AH119="Aceptado pendiente de pago/orden"),"PLAZO VENCIDO",IF(AND(AC119&lt;1,AD119&lt;&gt;"",AD119&lt;TODAY()),"VENCIDO","OK")))</f>
        <v/>
      </c>
      <c r="AO119" s="6"/>
      <c r="AP119" s="8"/>
      <c r="AQ119" s="6"/>
      <c r="AR119" s="6" t="s">
        <v>73</v>
      </c>
      <c r="AS119" s="6"/>
      <c r="AT119" s="6"/>
      <c r="AU119" s="6"/>
      <c r="AV119" s="6"/>
      <c r="AW119" s="8" t="str">
        <f aca="false">IF(AV119="","",AV119+60)</f>
        <v/>
      </c>
      <c r="AX119" s="11" t="str">
        <f aca="true">IF(A119="","",IF(AND(AV119&lt;&gt;"",AW119&lt;TODAY(),OR(AH119="Interés",AH119="Cotizado")),"Sí","No"))</f>
        <v/>
      </c>
      <c r="AY119" s="6"/>
      <c r="AZ119" s="6"/>
      <c r="BA119" s="6"/>
      <c r="BB119" s="6"/>
      <c r="BC119" s="4"/>
      <c r="BD119" s="12"/>
    </row>
    <row r="120" customFormat="false" ht="23.8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2" t="n">
        <f aca="false">SUM(F120:I120)</f>
        <v>0</v>
      </c>
      <c r="K120" s="6"/>
      <c r="L120" s="6"/>
      <c r="M120" s="7"/>
      <c r="N120" s="7"/>
      <c r="O120" s="8"/>
      <c r="P120" s="8"/>
      <c r="Q120" s="8"/>
      <c r="R120" s="8"/>
      <c r="S120" s="8"/>
      <c r="T120" s="6"/>
      <c r="U120" s="6"/>
      <c r="V120" s="6"/>
      <c r="W120" s="6"/>
      <c r="X120" s="8"/>
      <c r="Y120" s="6"/>
      <c r="Z120" s="6"/>
      <c r="AA120" s="7"/>
      <c r="AB120" s="9" t="str">
        <f aca="false">IF(N120="","",MAX(0,N120-AA120))</f>
        <v/>
      </c>
      <c r="AC120" s="10" t="str">
        <f aca="false">IF(N120="","",IF(N120=0,0,AA120/N120))</f>
        <v/>
      </c>
      <c r="AD120" s="8"/>
      <c r="AE120" s="6"/>
      <c r="AF120" s="6"/>
      <c r="AG120" s="6"/>
      <c r="AH120" s="6"/>
      <c r="AI120" s="2" t="str">
        <f aca="false">IF(A120="","",IF(V120="Yes",IF(U120="Yes",1,2),""))</f>
        <v/>
      </c>
      <c r="AJ120" s="8"/>
      <c r="AK120" s="2" t="str">
        <f aca="false">IF(A120="","",IF(AJ120="","",COUNTIFS($E$2:$E$201,E120,$AI$2:$AI$201,AI120,$AJ$2:$AJ$201,"&lt;="&amp;AJ120)))</f>
        <v/>
      </c>
      <c r="AL120" s="2" t="str">
        <f aca="false">IF(A120="","",IF(AH120&lt;&gt;"Confirmado","No",IF(AG120="CO/SO₂ simultáneos",IF(OR(COUNTIFS($E$2:$E$201,E120,$AH$2:$AH$201,"Confirmado",$AG$2:$AG$201,"CO/SO₂ simultáneos")=3,SUMIFS($J$2:$J$201,$E$2:$E$201,E120,$AH$2:$AH$201,"Confirmado",$AG$2:$AG$201,"CO/SO₂ simultáneos")=6),"Sí","No"),IF(OR(AND(F120&gt;0,SUMIFS($F$2:$F$201,$E$2:$E$201,E120,$AH$2:$AH$201,"Confirmado")=4),AND(G120&gt;0,SUMIFS($G$2:$G$201,$E$2:$E$201,E120,$AH$2:$AH$201,"Confirmado")=4),AND(H120&gt;0,SUMIFS($H$2:$H$201,$E$2:$E$201,E120,$AH$2:$AH$201,"Confirmado")=4),AND(I120&gt;0,SUMIFS($I$2:$I$201,$E$2:$E$201,E120,$AH$2:$AH$201,"Confirmado")=4)),"Sí","No"))))</f>
        <v/>
      </c>
      <c r="AM120" s="2" t="str">
        <f aca="false">IF(A120="","",IF(AH120&lt;&gt;"Confirmado","",IF(AG120="CO/SO₂ simultáneos",IF(OR(COUNTIFS($E$2:$E$201,E120,$AH$2:$AH$201,"Confirmado",$AG$2:$AG$201,"CO/SO₂ simultáneos")&gt;3,SUMIFS($J$2:$J$201,$E$2:$E$201,E120,$AH$2:$AH$201,"Confirmado",$AG$2:$AG$201,"CO/SO₂ simultáneos")&gt;6),"CAPACIDAD EXCEDIDA","OK"),IF(OR(SUMIFS($F$2:$F$201,$E$2:$E$201,E120,$AH$2:$AH$201,"Confirmado")&gt;4,SUMIFS($G$2:$G$201,$E$2:$E$201,E120,$AH$2:$AH$201,"Confirmado")&gt;4,SUMIFS($H$2:$H$201,$E$2:$E$201,E120,$AH$2:$AH$201,"Confirmado")&gt;4,SUMIFS($I$2:$I$201,$E$2:$E$201,E120,$AH$2:$AH$201,"Confirmado")&gt;4),"CAPACIDAD EXCEDIDA","OK"))))</f>
        <v/>
      </c>
      <c r="AN120" s="2" t="str">
        <f aca="true">IF(A120="","",IF(AND(AC120&lt;1,Q120&lt;TODAY(),AH120="Aceptado pendiente de pago/orden"),"PLAZO VENCIDO",IF(AND(AC120&lt;1,AD120&lt;&gt;"",AD120&lt;TODAY()),"VENCIDO","OK")))</f>
        <v/>
      </c>
      <c r="AO120" s="6"/>
      <c r="AP120" s="8"/>
      <c r="AQ120" s="6"/>
      <c r="AR120" s="6" t="s">
        <v>73</v>
      </c>
      <c r="AS120" s="6"/>
      <c r="AT120" s="6"/>
      <c r="AU120" s="6"/>
      <c r="AV120" s="6"/>
      <c r="AW120" s="8" t="str">
        <f aca="false">IF(AV120="","",AV120+60)</f>
        <v/>
      </c>
      <c r="AX120" s="11" t="str">
        <f aca="true">IF(A120="","",IF(AND(AV120&lt;&gt;"",AW120&lt;TODAY(),OR(AH120="Interés",AH120="Cotizado")),"Sí","No"))</f>
        <v/>
      </c>
      <c r="AY120" s="6"/>
      <c r="AZ120" s="6"/>
      <c r="BA120" s="6"/>
      <c r="BB120" s="6"/>
      <c r="BC120" s="4"/>
      <c r="BD120" s="12"/>
    </row>
    <row r="121" customFormat="false" ht="23.8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2" t="n">
        <f aca="false">SUM(F121:I121)</f>
        <v>0</v>
      </c>
      <c r="K121" s="6"/>
      <c r="L121" s="6"/>
      <c r="M121" s="7"/>
      <c r="N121" s="7"/>
      <c r="O121" s="8"/>
      <c r="P121" s="8"/>
      <c r="Q121" s="8"/>
      <c r="R121" s="8"/>
      <c r="S121" s="8"/>
      <c r="T121" s="6"/>
      <c r="U121" s="6"/>
      <c r="V121" s="6"/>
      <c r="W121" s="6"/>
      <c r="X121" s="8"/>
      <c r="Y121" s="6"/>
      <c r="Z121" s="6"/>
      <c r="AA121" s="7"/>
      <c r="AB121" s="9" t="str">
        <f aca="false">IF(N121="","",MAX(0,N121-AA121))</f>
        <v/>
      </c>
      <c r="AC121" s="10" t="str">
        <f aca="false">IF(N121="","",IF(N121=0,0,AA121/N121))</f>
        <v/>
      </c>
      <c r="AD121" s="8"/>
      <c r="AE121" s="6"/>
      <c r="AF121" s="6"/>
      <c r="AG121" s="6"/>
      <c r="AH121" s="6"/>
      <c r="AI121" s="2" t="str">
        <f aca="false">IF(A121="","",IF(V121="Yes",IF(U121="Yes",1,2),""))</f>
        <v/>
      </c>
      <c r="AJ121" s="8"/>
      <c r="AK121" s="2" t="str">
        <f aca="false">IF(A121="","",IF(AJ121="","",COUNTIFS($E$2:$E$201,E121,$AI$2:$AI$201,AI121,$AJ$2:$AJ$201,"&lt;="&amp;AJ121)))</f>
        <v/>
      </c>
      <c r="AL121" s="2" t="str">
        <f aca="false">IF(A121="","",IF(AH121&lt;&gt;"Confirmado","No",IF(AG121="CO/SO₂ simultáneos",IF(OR(COUNTIFS($E$2:$E$201,E121,$AH$2:$AH$201,"Confirmado",$AG$2:$AG$201,"CO/SO₂ simultáneos")=3,SUMIFS($J$2:$J$201,$E$2:$E$201,E121,$AH$2:$AH$201,"Confirmado",$AG$2:$AG$201,"CO/SO₂ simultáneos")=6),"Sí","No"),IF(OR(AND(F121&gt;0,SUMIFS($F$2:$F$201,$E$2:$E$201,E121,$AH$2:$AH$201,"Confirmado")=4),AND(G121&gt;0,SUMIFS($G$2:$G$201,$E$2:$E$201,E121,$AH$2:$AH$201,"Confirmado")=4),AND(H121&gt;0,SUMIFS($H$2:$H$201,$E$2:$E$201,E121,$AH$2:$AH$201,"Confirmado")=4),AND(I121&gt;0,SUMIFS($I$2:$I$201,$E$2:$E$201,E121,$AH$2:$AH$201,"Confirmado")=4)),"Sí","No"))))</f>
        <v/>
      </c>
      <c r="AM121" s="2" t="str">
        <f aca="false">IF(A121="","",IF(AH121&lt;&gt;"Confirmado","",IF(AG121="CO/SO₂ simultáneos",IF(OR(COUNTIFS($E$2:$E$201,E121,$AH$2:$AH$201,"Confirmado",$AG$2:$AG$201,"CO/SO₂ simultáneos")&gt;3,SUMIFS($J$2:$J$201,$E$2:$E$201,E121,$AH$2:$AH$201,"Confirmado",$AG$2:$AG$201,"CO/SO₂ simultáneos")&gt;6),"CAPACIDAD EXCEDIDA","OK"),IF(OR(SUMIFS($F$2:$F$201,$E$2:$E$201,E121,$AH$2:$AH$201,"Confirmado")&gt;4,SUMIFS($G$2:$G$201,$E$2:$E$201,E121,$AH$2:$AH$201,"Confirmado")&gt;4,SUMIFS($H$2:$H$201,$E$2:$E$201,E121,$AH$2:$AH$201,"Confirmado")&gt;4,SUMIFS($I$2:$I$201,$E$2:$E$201,E121,$AH$2:$AH$201,"Confirmado")&gt;4),"CAPACIDAD EXCEDIDA","OK"))))</f>
        <v/>
      </c>
      <c r="AN121" s="2" t="str">
        <f aca="true">IF(A121="","",IF(AND(AC121&lt;1,Q121&lt;TODAY(),AH121="Aceptado pendiente de pago/orden"),"PLAZO VENCIDO",IF(AND(AC121&lt;1,AD121&lt;&gt;"",AD121&lt;TODAY()),"VENCIDO","OK")))</f>
        <v/>
      </c>
      <c r="AO121" s="6"/>
      <c r="AP121" s="8"/>
      <c r="AQ121" s="6"/>
      <c r="AR121" s="6" t="s">
        <v>73</v>
      </c>
      <c r="AS121" s="6"/>
      <c r="AT121" s="6"/>
      <c r="AU121" s="6"/>
      <c r="AV121" s="6"/>
      <c r="AW121" s="8" t="str">
        <f aca="false">IF(AV121="","",AV121+60)</f>
        <v/>
      </c>
      <c r="AX121" s="11" t="str">
        <f aca="true">IF(A121="","",IF(AND(AV121&lt;&gt;"",AW121&lt;TODAY(),OR(AH121="Interés",AH121="Cotizado")),"Sí","No"))</f>
        <v/>
      </c>
      <c r="AY121" s="6"/>
      <c r="AZ121" s="6"/>
      <c r="BA121" s="6"/>
      <c r="BB121" s="6"/>
      <c r="BC121" s="4"/>
      <c r="BD121" s="12"/>
    </row>
    <row r="122" customFormat="false" ht="23.8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2" t="n">
        <f aca="false">SUM(F122:I122)</f>
        <v>0</v>
      </c>
      <c r="K122" s="6"/>
      <c r="L122" s="6"/>
      <c r="M122" s="7"/>
      <c r="N122" s="7"/>
      <c r="O122" s="8"/>
      <c r="P122" s="8"/>
      <c r="Q122" s="8"/>
      <c r="R122" s="8"/>
      <c r="S122" s="8"/>
      <c r="T122" s="6"/>
      <c r="U122" s="6"/>
      <c r="V122" s="6"/>
      <c r="W122" s="6"/>
      <c r="X122" s="8"/>
      <c r="Y122" s="6"/>
      <c r="Z122" s="6"/>
      <c r="AA122" s="7"/>
      <c r="AB122" s="9" t="str">
        <f aca="false">IF(N122="","",MAX(0,N122-AA122))</f>
        <v/>
      </c>
      <c r="AC122" s="10" t="str">
        <f aca="false">IF(N122="","",IF(N122=0,0,AA122/N122))</f>
        <v/>
      </c>
      <c r="AD122" s="8"/>
      <c r="AE122" s="6"/>
      <c r="AF122" s="6"/>
      <c r="AG122" s="6"/>
      <c r="AH122" s="6"/>
      <c r="AI122" s="2" t="str">
        <f aca="false">IF(A122="","",IF(V122="Yes",IF(U122="Yes",1,2),""))</f>
        <v/>
      </c>
      <c r="AJ122" s="8"/>
      <c r="AK122" s="2" t="str">
        <f aca="false">IF(A122="","",IF(AJ122="","",COUNTIFS($E$2:$E$201,E122,$AI$2:$AI$201,AI122,$AJ$2:$AJ$201,"&lt;="&amp;AJ122)))</f>
        <v/>
      </c>
      <c r="AL122" s="2" t="str">
        <f aca="false">IF(A122="","",IF(AH122&lt;&gt;"Confirmado","No",IF(AG122="CO/SO₂ simultáneos",IF(OR(COUNTIFS($E$2:$E$201,E122,$AH$2:$AH$201,"Confirmado",$AG$2:$AG$201,"CO/SO₂ simultáneos")=3,SUMIFS($J$2:$J$201,$E$2:$E$201,E122,$AH$2:$AH$201,"Confirmado",$AG$2:$AG$201,"CO/SO₂ simultáneos")=6),"Sí","No"),IF(OR(AND(F122&gt;0,SUMIFS($F$2:$F$201,$E$2:$E$201,E122,$AH$2:$AH$201,"Confirmado")=4),AND(G122&gt;0,SUMIFS($G$2:$G$201,$E$2:$E$201,E122,$AH$2:$AH$201,"Confirmado")=4),AND(H122&gt;0,SUMIFS($H$2:$H$201,$E$2:$E$201,E122,$AH$2:$AH$201,"Confirmado")=4),AND(I122&gt;0,SUMIFS($I$2:$I$201,$E$2:$E$201,E122,$AH$2:$AH$201,"Confirmado")=4)),"Sí","No"))))</f>
        <v/>
      </c>
      <c r="AM122" s="2" t="str">
        <f aca="false">IF(A122="","",IF(AH122&lt;&gt;"Confirmado","",IF(AG122="CO/SO₂ simultáneos",IF(OR(COUNTIFS($E$2:$E$201,E122,$AH$2:$AH$201,"Confirmado",$AG$2:$AG$201,"CO/SO₂ simultáneos")&gt;3,SUMIFS($J$2:$J$201,$E$2:$E$201,E122,$AH$2:$AH$201,"Confirmado",$AG$2:$AG$201,"CO/SO₂ simultáneos")&gt;6),"CAPACIDAD EXCEDIDA","OK"),IF(OR(SUMIFS($F$2:$F$201,$E$2:$E$201,E122,$AH$2:$AH$201,"Confirmado")&gt;4,SUMIFS($G$2:$G$201,$E$2:$E$201,E122,$AH$2:$AH$201,"Confirmado")&gt;4,SUMIFS($H$2:$H$201,$E$2:$E$201,E122,$AH$2:$AH$201,"Confirmado")&gt;4,SUMIFS($I$2:$I$201,$E$2:$E$201,E122,$AH$2:$AH$201,"Confirmado")&gt;4),"CAPACIDAD EXCEDIDA","OK"))))</f>
        <v/>
      </c>
      <c r="AN122" s="2" t="str">
        <f aca="true">IF(A122="","",IF(AND(AC122&lt;1,Q122&lt;TODAY(),AH122="Aceptado pendiente de pago/orden"),"PLAZO VENCIDO",IF(AND(AC122&lt;1,AD122&lt;&gt;"",AD122&lt;TODAY()),"VENCIDO","OK")))</f>
        <v/>
      </c>
      <c r="AO122" s="6"/>
      <c r="AP122" s="8"/>
      <c r="AQ122" s="6"/>
      <c r="AR122" s="6" t="s">
        <v>73</v>
      </c>
      <c r="AS122" s="6"/>
      <c r="AT122" s="6"/>
      <c r="AU122" s="6"/>
      <c r="AV122" s="6"/>
      <c r="AW122" s="8" t="str">
        <f aca="false">IF(AV122="","",AV122+60)</f>
        <v/>
      </c>
      <c r="AX122" s="11" t="str">
        <f aca="true">IF(A122="","",IF(AND(AV122&lt;&gt;"",AW122&lt;TODAY(),OR(AH122="Interés",AH122="Cotizado")),"Sí","No"))</f>
        <v/>
      </c>
      <c r="AY122" s="6"/>
      <c r="AZ122" s="6"/>
      <c r="BA122" s="6"/>
      <c r="BB122" s="6"/>
      <c r="BC122" s="4"/>
      <c r="BD122" s="12"/>
    </row>
    <row r="123" customFormat="false" ht="23.8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2" t="n">
        <f aca="false">SUM(F123:I123)</f>
        <v>0</v>
      </c>
      <c r="K123" s="6"/>
      <c r="L123" s="6"/>
      <c r="M123" s="7"/>
      <c r="N123" s="7"/>
      <c r="O123" s="8"/>
      <c r="P123" s="8"/>
      <c r="Q123" s="8"/>
      <c r="R123" s="8"/>
      <c r="S123" s="8"/>
      <c r="T123" s="6"/>
      <c r="U123" s="6"/>
      <c r="V123" s="6"/>
      <c r="W123" s="6"/>
      <c r="X123" s="8"/>
      <c r="Y123" s="6"/>
      <c r="Z123" s="6"/>
      <c r="AA123" s="7"/>
      <c r="AB123" s="9" t="str">
        <f aca="false">IF(N123="","",MAX(0,N123-AA123))</f>
        <v/>
      </c>
      <c r="AC123" s="10" t="str">
        <f aca="false">IF(N123="","",IF(N123=0,0,AA123/N123))</f>
        <v/>
      </c>
      <c r="AD123" s="8"/>
      <c r="AE123" s="6"/>
      <c r="AF123" s="6"/>
      <c r="AG123" s="6"/>
      <c r="AH123" s="6"/>
      <c r="AI123" s="2" t="str">
        <f aca="false">IF(A123="","",IF(V123="Yes",IF(U123="Yes",1,2),""))</f>
        <v/>
      </c>
      <c r="AJ123" s="8"/>
      <c r="AK123" s="2" t="str">
        <f aca="false">IF(A123="","",IF(AJ123="","",COUNTIFS($E$2:$E$201,E123,$AI$2:$AI$201,AI123,$AJ$2:$AJ$201,"&lt;="&amp;AJ123)))</f>
        <v/>
      </c>
      <c r="AL123" s="2" t="str">
        <f aca="false">IF(A123="","",IF(AH123&lt;&gt;"Confirmado","No",IF(AG123="CO/SO₂ simultáneos",IF(OR(COUNTIFS($E$2:$E$201,E123,$AH$2:$AH$201,"Confirmado",$AG$2:$AG$201,"CO/SO₂ simultáneos")=3,SUMIFS($J$2:$J$201,$E$2:$E$201,E123,$AH$2:$AH$201,"Confirmado",$AG$2:$AG$201,"CO/SO₂ simultáneos")=6),"Sí","No"),IF(OR(AND(F123&gt;0,SUMIFS($F$2:$F$201,$E$2:$E$201,E123,$AH$2:$AH$201,"Confirmado")=4),AND(G123&gt;0,SUMIFS($G$2:$G$201,$E$2:$E$201,E123,$AH$2:$AH$201,"Confirmado")=4),AND(H123&gt;0,SUMIFS($H$2:$H$201,$E$2:$E$201,E123,$AH$2:$AH$201,"Confirmado")=4),AND(I123&gt;0,SUMIFS($I$2:$I$201,$E$2:$E$201,E123,$AH$2:$AH$201,"Confirmado")=4)),"Sí","No"))))</f>
        <v/>
      </c>
      <c r="AM123" s="2" t="str">
        <f aca="false">IF(A123="","",IF(AH123&lt;&gt;"Confirmado","",IF(AG123="CO/SO₂ simultáneos",IF(OR(COUNTIFS($E$2:$E$201,E123,$AH$2:$AH$201,"Confirmado",$AG$2:$AG$201,"CO/SO₂ simultáneos")&gt;3,SUMIFS($J$2:$J$201,$E$2:$E$201,E123,$AH$2:$AH$201,"Confirmado",$AG$2:$AG$201,"CO/SO₂ simultáneos")&gt;6),"CAPACIDAD EXCEDIDA","OK"),IF(OR(SUMIFS($F$2:$F$201,$E$2:$E$201,E123,$AH$2:$AH$201,"Confirmado")&gt;4,SUMIFS($G$2:$G$201,$E$2:$E$201,E123,$AH$2:$AH$201,"Confirmado")&gt;4,SUMIFS($H$2:$H$201,$E$2:$E$201,E123,$AH$2:$AH$201,"Confirmado")&gt;4,SUMIFS($I$2:$I$201,$E$2:$E$201,E123,$AH$2:$AH$201,"Confirmado")&gt;4),"CAPACIDAD EXCEDIDA","OK"))))</f>
        <v/>
      </c>
      <c r="AN123" s="2" t="str">
        <f aca="true">IF(A123="","",IF(AND(AC123&lt;1,Q123&lt;TODAY(),AH123="Aceptado pendiente de pago/orden"),"PLAZO VENCIDO",IF(AND(AC123&lt;1,AD123&lt;&gt;"",AD123&lt;TODAY()),"VENCIDO","OK")))</f>
        <v/>
      </c>
      <c r="AO123" s="6"/>
      <c r="AP123" s="8"/>
      <c r="AQ123" s="6"/>
      <c r="AR123" s="6" t="s">
        <v>73</v>
      </c>
      <c r="AS123" s="6"/>
      <c r="AT123" s="6"/>
      <c r="AU123" s="6"/>
      <c r="AV123" s="6"/>
      <c r="AW123" s="8" t="str">
        <f aca="false">IF(AV123="","",AV123+60)</f>
        <v/>
      </c>
      <c r="AX123" s="11" t="str">
        <f aca="true">IF(A123="","",IF(AND(AV123&lt;&gt;"",AW123&lt;TODAY(),OR(AH123="Interés",AH123="Cotizado")),"Sí","No"))</f>
        <v/>
      </c>
      <c r="AY123" s="6"/>
      <c r="AZ123" s="6"/>
      <c r="BA123" s="6"/>
      <c r="BB123" s="6"/>
      <c r="BC123" s="4"/>
      <c r="BD123" s="12"/>
    </row>
    <row r="124" customFormat="false" ht="23.8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2" t="n">
        <f aca="false">SUM(F124:I124)</f>
        <v>0</v>
      </c>
      <c r="K124" s="6"/>
      <c r="L124" s="6"/>
      <c r="M124" s="7"/>
      <c r="N124" s="7"/>
      <c r="O124" s="8"/>
      <c r="P124" s="8"/>
      <c r="Q124" s="8"/>
      <c r="R124" s="8"/>
      <c r="S124" s="8"/>
      <c r="T124" s="6"/>
      <c r="U124" s="6"/>
      <c r="V124" s="6"/>
      <c r="W124" s="6"/>
      <c r="X124" s="8"/>
      <c r="Y124" s="6"/>
      <c r="Z124" s="6"/>
      <c r="AA124" s="7"/>
      <c r="AB124" s="9" t="str">
        <f aca="false">IF(N124="","",MAX(0,N124-AA124))</f>
        <v/>
      </c>
      <c r="AC124" s="10" t="str">
        <f aca="false">IF(N124="","",IF(N124=0,0,AA124/N124))</f>
        <v/>
      </c>
      <c r="AD124" s="8"/>
      <c r="AE124" s="6"/>
      <c r="AF124" s="6"/>
      <c r="AG124" s="6"/>
      <c r="AH124" s="6"/>
      <c r="AI124" s="2" t="str">
        <f aca="false">IF(A124="","",IF(V124="Yes",IF(U124="Yes",1,2),""))</f>
        <v/>
      </c>
      <c r="AJ124" s="8"/>
      <c r="AK124" s="2" t="str">
        <f aca="false">IF(A124="","",IF(AJ124="","",COUNTIFS($E$2:$E$201,E124,$AI$2:$AI$201,AI124,$AJ$2:$AJ$201,"&lt;="&amp;AJ124)))</f>
        <v/>
      </c>
      <c r="AL124" s="2" t="str">
        <f aca="false">IF(A124="","",IF(AH124&lt;&gt;"Confirmado","No",IF(AG124="CO/SO₂ simultáneos",IF(OR(COUNTIFS($E$2:$E$201,E124,$AH$2:$AH$201,"Confirmado",$AG$2:$AG$201,"CO/SO₂ simultáneos")=3,SUMIFS($J$2:$J$201,$E$2:$E$201,E124,$AH$2:$AH$201,"Confirmado",$AG$2:$AG$201,"CO/SO₂ simultáneos")=6),"Sí","No"),IF(OR(AND(F124&gt;0,SUMIFS($F$2:$F$201,$E$2:$E$201,E124,$AH$2:$AH$201,"Confirmado")=4),AND(G124&gt;0,SUMIFS($G$2:$G$201,$E$2:$E$201,E124,$AH$2:$AH$201,"Confirmado")=4),AND(H124&gt;0,SUMIFS($H$2:$H$201,$E$2:$E$201,E124,$AH$2:$AH$201,"Confirmado")=4),AND(I124&gt;0,SUMIFS($I$2:$I$201,$E$2:$E$201,E124,$AH$2:$AH$201,"Confirmado")=4)),"Sí","No"))))</f>
        <v/>
      </c>
      <c r="AM124" s="2" t="str">
        <f aca="false">IF(A124="","",IF(AH124&lt;&gt;"Confirmado","",IF(AG124="CO/SO₂ simultáneos",IF(OR(COUNTIFS($E$2:$E$201,E124,$AH$2:$AH$201,"Confirmado",$AG$2:$AG$201,"CO/SO₂ simultáneos")&gt;3,SUMIFS($J$2:$J$201,$E$2:$E$201,E124,$AH$2:$AH$201,"Confirmado",$AG$2:$AG$201,"CO/SO₂ simultáneos")&gt;6),"CAPACIDAD EXCEDIDA","OK"),IF(OR(SUMIFS($F$2:$F$201,$E$2:$E$201,E124,$AH$2:$AH$201,"Confirmado")&gt;4,SUMIFS($G$2:$G$201,$E$2:$E$201,E124,$AH$2:$AH$201,"Confirmado")&gt;4,SUMIFS($H$2:$H$201,$E$2:$E$201,E124,$AH$2:$AH$201,"Confirmado")&gt;4,SUMIFS($I$2:$I$201,$E$2:$E$201,E124,$AH$2:$AH$201,"Confirmado")&gt;4),"CAPACIDAD EXCEDIDA","OK"))))</f>
        <v/>
      </c>
      <c r="AN124" s="2" t="str">
        <f aca="true">IF(A124="","",IF(AND(AC124&lt;1,Q124&lt;TODAY(),AH124="Aceptado pendiente de pago/orden"),"PLAZO VENCIDO",IF(AND(AC124&lt;1,AD124&lt;&gt;"",AD124&lt;TODAY()),"VENCIDO","OK")))</f>
        <v/>
      </c>
      <c r="AO124" s="6"/>
      <c r="AP124" s="8"/>
      <c r="AQ124" s="6"/>
      <c r="AR124" s="6" t="s">
        <v>73</v>
      </c>
      <c r="AS124" s="6"/>
      <c r="AT124" s="6"/>
      <c r="AU124" s="6"/>
      <c r="AV124" s="6"/>
      <c r="AW124" s="8" t="str">
        <f aca="false">IF(AV124="","",AV124+60)</f>
        <v/>
      </c>
      <c r="AX124" s="11" t="str">
        <f aca="true">IF(A124="","",IF(AND(AV124&lt;&gt;"",AW124&lt;TODAY(),OR(AH124="Interés",AH124="Cotizado")),"Sí","No"))</f>
        <v/>
      </c>
      <c r="AY124" s="6"/>
      <c r="AZ124" s="6"/>
      <c r="BA124" s="6"/>
      <c r="BB124" s="6"/>
      <c r="BC124" s="4"/>
      <c r="BD124" s="12"/>
    </row>
    <row r="125" customFormat="false" ht="23.8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2" t="n">
        <f aca="false">SUM(F125:I125)</f>
        <v>0</v>
      </c>
      <c r="K125" s="6"/>
      <c r="L125" s="6"/>
      <c r="M125" s="7"/>
      <c r="N125" s="7"/>
      <c r="O125" s="8"/>
      <c r="P125" s="8"/>
      <c r="Q125" s="8"/>
      <c r="R125" s="8"/>
      <c r="S125" s="8"/>
      <c r="T125" s="6"/>
      <c r="U125" s="6"/>
      <c r="V125" s="6"/>
      <c r="W125" s="6"/>
      <c r="X125" s="8"/>
      <c r="Y125" s="6"/>
      <c r="Z125" s="6"/>
      <c r="AA125" s="7"/>
      <c r="AB125" s="9" t="str">
        <f aca="false">IF(N125="","",MAX(0,N125-AA125))</f>
        <v/>
      </c>
      <c r="AC125" s="10" t="str">
        <f aca="false">IF(N125="","",IF(N125=0,0,AA125/N125))</f>
        <v/>
      </c>
      <c r="AD125" s="8"/>
      <c r="AE125" s="6"/>
      <c r="AF125" s="6"/>
      <c r="AG125" s="6"/>
      <c r="AH125" s="6"/>
      <c r="AI125" s="2" t="str">
        <f aca="false">IF(A125="","",IF(V125="Yes",IF(U125="Yes",1,2),""))</f>
        <v/>
      </c>
      <c r="AJ125" s="8"/>
      <c r="AK125" s="2" t="str">
        <f aca="false">IF(A125="","",IF(AJ125="","",COUNTIFS($E$2:$E$201,E125,$AI$2:$AI$201,AI125,$AJ$2:$AJ$201,"&lt;="&amp;AJ125)))</f>
        <v/>
      </c>
      <c r="AL125" s="2" t="str">
        <f aca="false">IF(A125="","",IF(AH125&lt;&gt;"Confirmado","No",IF(AG125="CO/SO₂ simultáneos",IF(OR(COUNTIFS($E$2:$E$201,E125,$AH$2:$AH$201,"Confirmado",$AG$2:$AG$201,"CO/SO₂ simultáneos")=3,SUMIFS($J$2:$J$201,$E$2:$E$201,E125,$AH$2:$AH$201,"Confirmado",$AG$2:$AG$201,"CO/SO₂ simultáneos")=6),"Sí","No"),IF(OR(AND(F125&gt;0,SUMIFS($F$2:$F$201,$E$2:$E$201,E125,$AH$2:$AH$201,"Confirmado")=4),AND(G125&gt;0,SUMIFS($G$2:$G$201,$E$2:$E$201,E125,$AH$2:$AH$201,"Confirmado")=4),AND(H125&gt;0,SUMIFS($H$2:$H$201,$E$2:$E$201,E125,$AH$2:$AH$201,"Confirmado")=4),AND(I125&gt;0,SUMIFS($I$2:$I$201,$E$2:$E$201,E125,$AH$2:$AH$201,"Confirmado")=4)),"Sí","No"))))</f>
        <v/>
      </c>
      <c r="AM125" s="2" t="str">
        <f aca="false">IF(A125="","",IF(AH125&lt;&gt;"Confirmado","",IF(AG125="CO/SO₂ simultáneos",IF(OR(COUNTIFS($E$2:$E$201,E125,$AH$2:$AH$201,"Confirmado",$AG$2:$AG$201,"CO/SO₂ simultáneos")&gt;3,SUMIFS($J$2:$J$201,$E$2:$E$201,E125,$AH$2:$AH$201,"Confirmado",$AG$2:$AG$201,"CO/SO₂ simultáneos")&gt;6),"CAPACIDAD EXCEDIDA","OK"),IF(OR(SUMIFS($F$2:$F$201,$E$2:$E$201,E125,$AH$2:$AH$201,"Confirmado")&gt;4,SUMIFS($G$2:$G$201,$E$2:$E$201,E125,$AH$2:$AH$201,"Confirmado")&gt;4,SUMIFS($H$2:$H$201,$E$2:$E$201,E125,$AH$2:$AH$201,"Confirmado")&gt;4,SUMIFS($I$2:$I$201,$E$2:$E$201,E125,$AH$2:$AH$201,"Confirmado")&gt;4),"CAPACIDAD EXCEDIDA","OK"))))</f>
        <v/>
      </c>
      <c r="AN125" s="2" t="str">
        <f aca="true">IF(A125="","",IF(AND(AC125&lt;1,Q125&lt;TODAY(),AH125="Aceptado pendiente de pago/orden"),"PLAZO VENCIDO",IF(AND(AC125&lt;1,AD125&lt;&gt;"",AD125&lt;TODAY()),"VENCIDO","OK")))</f>
        <v/>
      </c>
      <c r="AO125" s="6"/>
      <c r="AP125" s="8"/>
      <c r="AQ125" s="6"/>
      <c r="AR125" s="6" t="s">
        <v>73</v>
      </c>
      <c r="AS125" s="6"/>
      <c r="AT125" s="6"/>
      <c r="AU125" s="6"/>
      <c r="AV125" s="6"/>
      <c r="AW125" s="8" t="str">
        <f aca="false">IF(AV125="","",AV125+60)</f>
        <v/>
      </c>
      <c r="AX125" s="11" t="str">
        <f aca="true">IF(A125="","",IF(AND(AV125&lt;&gt;"",AW125&lt;TODAY(),OR(AH125="Interés",AH125="Cotizado")),"Sí","No"))</f>
        <v/>
      </c>
      <c r="AY125" s="6"/>
      <c r="AZ125" s="6"/>
      <c r="BA125" s="6"/>
      <c r="BB125" s="6"/>
      <c r="BC125" s="4"/>
      <c r="BD125" s="12"/>
    </row>
    <row r="126" customFormat="false" ht="23.8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2" t="n">
        <f aca="false">SUM(F126:I126)</f>
        <v>0</v>
      </c>
      <c r="K126" s="6"/>
      <c r="L126" s="6"/>
      <c r="M126" s="7"/>
      <c r="N126" s="7"/>
      <c r="O126" s="8"/>
      <c r="P126" s="8"/>
      <c r="Q126" s="8"/>
      <c r="R126" s="8"/>
      <c r="S126" s="8"/>
      <c r="T126" s="6"/>
      <c r="U126" s="6"/>
      <c r="V126" s="6"/>
      <c r="W126" s="6"/>
      <c r="X126" s="8"/>
      <c r="Y126" s="6"/>
      <c r="Z126" s="6"/>
      <c r="AA126" s="7"/>
      <c r="AB126" s="9" t="str">
        <f aca="false">IF(N126="","",MAX(0,N126-AA126))</f>
        <v/>
      </c>
      <c r="AC126" s="10" t="str">
        <f aca="false">IF(N126="","",IF(N126=0,0,AA126/N126))</f>
        <v/>
      </c>
      <c r="AD126" s="8"/>
      <c r="AE126" s="6"/>
      <c r="AF126" s="6"/>
      <c r="AG126" s="6"/>
      <c r="AH126" s="6"/>
      <c r="AI126" s="2" t="str">
        <f aca="false">IF(A126="","",IF(V126="Yes",IF(U126="Yes",1,2),""))</f>
        <v/>
      </c>
      <c r="AJ126" s="8"/>
      <c r="AK126" s="2" t="str">
        <f aca="false">IF(A126="","",IF(AJ126="","",COUNTIFS($E$2:$E$201,E126,$AI$2:$AI$201,AI126,$AJ$2:$AJ$201,"&lt;="&amp;AJ126)))</f>
        <v/>
      </c>
      <c r="AL126" s="2" t="str">
        <f aca="false">IF(A126="","",IF(AH126&lt;&gt;"Confirmado","No",IF(AG126="CO/SO₂ simultáneos",IF(OR(COUNTIFS($E$2:$E$201,E126,$AH$2:$AH$201,"Confirmado",$AG$2:$AG$201,"CO/SO₂ simultáneos")=3,SUMIFS($J$2:$J$201,$E$2:$E$201,E126,$AH$2:$AH$201,"Confirmado",$AG$2:$AG$201,"CO/SO₂ simultáneos")=6),"Sí","No"),IF(OR(AND(F126&gt;0,SUMIFS($F$2:$F$201,$E$2:$E$201,E126,$AH$2:$AH$201,"Confirmado")=4),AND(G126&gt;0,SUMIFS($G$2:$G$201,$E$2:$E$201,E126,$AH$2:$AH$201,"Confirmado")=4),AND(H126&gt;0,SUMIFS($H$2:$H$201,$E$2:$E$201,E126,$AH$2:$AH$201,"Confirmado")=4),AND(I126&gt;0,SUMIFS($I$2:$I$201,$E$2:$E$201,E126,$AH$2:$AH$201,"Confirmado")=4)),"Sí","No"))))</f>
        <v/>
      </c>
      <c r="AM126" s="2" t="str">
        <f aca="false">IF(A126="","",IF(AH126&lt;&gt;"Confirmado","",IF(AG126="CO/SO₂ simultáneos",IF(OR(COUNTIFS($E$2:$E$201,E126,$AH$2:$AH$201,"Confirmado",$AG$2:$AG$201,"CO/SO₂ simultáneos")&gt;3,SUMIFS($J$2:$J$201,$E$2:$E$201,E126,$AH$2:$AH$201,"Confirmado",$AG$2:$AG$201,"CO/SO₂ simultáneos")&gt;6),"CAPACIDAD EXCEDIDA","OK"),IF(OR(SUMIFS($F$2:$F$201,$E$2:$E$201,E126,$AH$2:$AH$201,"Confirmado")&gt;4,SUMIFS($G$2:$G$201,$E$2:$E$201,E126,$AH$2:$AH$201,"Confirmado")&gt;4,SUMIFS($H$2:$H$201,$E$2:$E$201,E126,$AH$2:$AH$201,"Confirmado")&gt;4,SUMIFS($I$2:$I$201,$E$2:$E$201,E126,$AH$2:$AH$201,"Confirmado")&gt;4),"CAPACIDAD EXCEDIDA","OK"))))</f>
        <v/>
      </c>
      <c r="AN126" s="2" t="str">
        <f aca="true">IF(A126="","",IF(AND(AC126&lt;1,Q126&lt;TODAY(),AH126="Aceptado pendiente de pago/orden"),"PLAZO VENCIDO",IF(AND(AC126&lt;1,AD126&lt;&gt;"",AD126&lt;TODAY()),"VENCIDO","OK")))</f>
        <v/>
      </c>
      <c r="AO126" s="6"/>
      <c r="AP126" s="8"/>
      <c r="AQ126" s="6"/>
      <c r="AR126" s="6" t="s">
        <v>73</v>
      </c>
      <c r="AS126" s="6"/>
      <c r="AT126" s="6"/>
      <c r="AU126" s="6"/>
      <c r="AV126" s="6"/>
      <c r="AW126" s="8" t="str">
        <f aca="false">IF(AV126="","",AV126+60)</f>
        <v/>
      </c>
      <c r="AX126" s="11" t="str">
        <f aca="true">IF(A126="","",IF(AND(AV126&lt;&gt;"",AW126&lt;TODAY(),OR(AH126="Interés",AH126="Cotizado")),"Sí","No"))</f>
        <v/>
      </c>
      <c r="AY126" s="6"/>
      <c r="AZ126" s="6"/>
      <c r="BA126" s="6"/>
      <c r="BB126" s="6"/>
      <c r="BC126" s="4"/>
      <c r="BD126" s="12"/>
    </row>
    <row r="127" customFormat="false" ht="23.8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2" t="n">
        <f aca="false">SUM(F127:I127)</f>
        <v>0</v>
      </c>
      <c r="K127" s="6"/>
      <c r="L127" s="6"/>
      <c r="M127" s="7"/>
      <c r="N127" s="7"/>
      <c r="O127" s="8"/>
      <c r="P127" s="8"/>
      <c r="Q127" s="8"/>
      <c r="R127" s="8"/>
      <c r="S127" s="8"/>
      <c r="T127" s="6"/>
      <c r="U127" s="6"/>
      <c r="V127" s="6"/>
      <c r="W127" s="6"/>
      <c r="X127" s="8"/>
      <c r="Y127" s="6"/>
      <c r="Z127" s="6"/>
      <c r="AA127" s="7"/>
      <c r="AB127" s="9" t="str">
        <f aca="false">IF(N127="","",MAX(0,N127-AA127))</f>
        <v/>
      </c>
      <c r="AC127" s="10" t="str">
        <f aca="false">IF(N127="","",IF(N127=0,0,AA127/N127))</f>
        <v/>
      </c>
      <c r="AD127" s="8"/>
      <c r="AE127" s="6"/>
      <c r="AF127" s="6"/>
      <c r="AG127" s="6"/>
      <c r="AH127" s="6"/>
      <c r="AI127" s="2" t="str">
        <f aca="false">IF(A127="","",IF(V127="Yes",IF(U127="Yes",1,2),""))</f>
        <v/>
      </c>
      <c r="AJ127" s="8"/>
      <c r="AK127" s="2" t="str">
        <f aca="false">IF(A127="","",IF(AJ127="","",COUNTIFS($E$2:$E$201,E127,$AI$2:$AI$201,AI127,$AJ$2:$AJ$201,"&lt;="&amp;AJ127)))</f>
        <v/>
      </c>
      <c r="AL127" s="2" t="str">
        <f aca="false">IF(A127="","",IF(AH127&lt;&gt;"Confirmado","No",IF(AG127="CO/SO₂ simultáneos",IF(OR(COUNTIFS($E$2:$E$201,E127,$AH$2:$AH$201,"Confirmado",$AG$2:$AG$201,"CO/SO₂ simultáneos")=3,SUMIFS($J$2:$J$201,$E$2:$E$201,E127,$AH$2:$AH$201,"Confirmado",$AG$2:$AG$201,"CO/SO₂ simultáneos")=6),"Sí","No"),IF(OR(AND(F127&gt;0,SUMIFS($F$2:$F$201,$E$2:$E$201,E127,$AH$2:$AH$201,"Confirmado")=4),AND(G127&gt;0,SUMIFS($G$2:$G$201,$E$2:$E$201,E127,$AH$2:$AH$201,"Confirmado")=4),AND(H127&gt;0,SUMIFS($H$2:$H$201,$E$2:$E$201,E127,$AH$2:$AH$201,"Confirmado")=4),AND(I127&gt;0,SUMIFS($I$2:$I$201,$E$2:$E$201,E127,$AH$2:$AH$201,"Confirmado")=4)),"Sí","No"))))</f>
        <v/>
      </c>
      <c r="AM127" s="2" t="str">
        <f aca="false">IF(A127="","",IF(AH127&lt;&gt;"Confirmado","",IF(AG127="CO/SO₂ simultáneos",IF(OR(COUNTIFS($E$2:$E$201,E127,$AH$2:$AH$201,"Confirmado",$AG$2:$AG$201,"CO/SO₂ simultáneos")&gt;3,SUMIFS($J$2:$J$201,$E$2:$E$201,E127,$AH$2:$AH$201,"Confirmado",$AG$2:$AG$201,"CO/SO₂ simultáneos")&gt;6),"CAPACIDAD EXCEDIDA","OK"),IF(OR(SUMIFS($F$2:$F$201,$E$2:$E$201,E127,$AH$2:$AH$201,"Confirmado")&gt;4,SUMIFS($G$2:$G$201,$E$2:$E$201,E127,$AH$2:$AH$201,"Confirmado")&gt;4,SUMIFS($H$2:$H$201,$E$2:$E$201,E127,$AH$2:$AH$201,"Confirmado")&gt;4,SUMIFS($I$2:$I$201,$E$2:$E$201,E127,$AH$2:$AH$201,"Confirmado")&gt;4),"CAPACIDAD EXCEDIDA","OK"))))</f>
        <v/>
      </c>
      <c r="AN127" s="2" t="str">
        <f aca="true">IF(A127="","",IF(AND(AC127&lt;1,Q127&lt;TODAY(),AH127="Aceptado pendiente de pago/orden"),"PLAZO VENCIDO",IF(AND(AC127&lt;1,AD127&lt;&gt;"",AD127&lt;TODAY()),"VENCIDO","OK")))</f>
        <v/>
      </c>
      <c r="AO127" s="6"/>
      <c r="AP127" s="8"/>
      <c r="AQ127" s="6"/>
      <c r="AR127" s="6" t="s">
        <v>73</v>
      </c>
      <c r="AS127" s="6"/>
      <c r="AT127" s="6"/>
      <c r="AU127" s="6"/>
      <c r="AV127" s="6"/>
      <c r="AW127" s="8" t="str">
        <f aca="false">IF(AV127="","",AV127+60)</f>
        <v/>
      </c>
      <c r="AX127" s="11" t="str">
        <f aca="true">IF(A127="","",IF(AND(AV127&lt;&gt;"",AW127&lt;TODAY(),OR(AH127="Interés",AH127="Cotizado")),"Sí","No"))</f>
        <v/>
      </c>
      <c r="AY127" s="6"/>
      <c r="AZ127" s="6"/>
      <c r="BA127" s="6"/>
      <c r="BB127" s="6"/>
      <c r="BC127" s="4"/>
      <c r="BD127" s="12"/>
    </row>
    <row r="128" customFormat="false" ht="23.8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2" t="n">
        <f aca="false">SUM(F128:I128)</f>
        <v>0</v>
      </c>
      <c r="K128" s="6"/>
      <c r="L128" s="6"/>
      <c r="M128" s="7"/>
      <c r="N128" s="7"/>
      <c r="O128" s="8"/>
      <c r="P128" s="8"/>
      <c r="Q128" s="8"/>
      <c r="R128" s="8"/>
      <c r="S128" s="8"/>
      <c r="T128" s="6"/>
      <c r="U128" s="6"/>
      <c r="V128" s="6"/>
      <c r="W128" s="6"/>
      <c r="X128" s="8"/>
      <c r="Y128" s="6"/>
      <c r="Z128" s="6"/>
      <c r="AA128" s="7"/>
      <c r="AB128" s="9" t="str">
        <f aca="false">IF(N128="","",MAX(0,N128-AA128))</f>
        <v/>
      </c>
      <c r="AC128" s="10" t="str">
        <f aca="false">IF(N128="","",IF(N128=0,0,AA128/N128))</f>
        <v/>
      </c>
      <c r="AD128" s="8"/>
      <c r="AE128" s="6"/>
      <c r="AF128" s="6"/>
      <c r="AG128" s="6"/>
      <c r="AH128" s="6"/>
      <c r="AI128" s="2" t="str">
        <f aca="false">IF(A128="","",IF(V128="Yes",IF(U128="Yes",1,2),""))</f>
        <v/>
      </c>
      <c r="AJ128" s="8"/>
      <c r="AK128" s="2" t="str">
        <f aca="false">IF(A128="","",IF(AJ128="","",COUNTIFS($E$2:$E$201,E128,$AI$2:$AI$201,AI128,$AJ$2:$AJ$201,"&lt;="&amp;AJ128)))</f>
        <v/>
      </c>
      <c r="AL128" s="2" t="str">
        <f aca="false">IF(A128="","",IF(AH128&lt;&gt;"Confirmado","No",IF(AG128="CO/SO₂ simultáneos",IF(OR(COUNTIFS($E$2:$E$201,E128,$AH$2:$AH$201,"Confirmado",$AG$2:$AG$201,"CO/SO₂ simultáneos")=3,SUMIFS($J$2:$J$201,$E$2:$E$201,E128,$AH$2:$AH$201,"Confirmado",$AG$2:$AG$201,"CO/SO₂ simultáneos")=6),"Sí","No"),IF(OR(AND(F128&gt;0,SUMIFS($F$2:$F$201,$E$2:$E$201,E128,$AH$2:$AH$201,"Confirmado")=4),AND(G128&gt;0,SUMIFS($G$2:$G$201,$E$2:$E$201,E128,$AH$2:$AH$201,"Confirmado")=4),AND(H128&gt;0,SUMIFS($H$2:$H$201,$E$2:$E$201,E128,$AH$2:$AH$201,"Confirmado")=4),AND(I128&gt;0,SUMIFS($I$2:$I$201,$E$2:$E$201,E128,$AH$2:$AH$201,"Confirmado")=4)),"Sí","No"))))</f>
        <v/>
      </c>
      <c r="AM128" s="2" t="str">
        <f aca="false">IF(A128="","",IF(AH128&lt;&gt;"Confirmado","",IF(AG128="CO/SO₂ simultáneos",IF(OR(COUNTIFS($E$2:$E$201,E128,$AH$2:$AH$201,"Confirmado",$AG$2:$AG$201,"CO/SO₂ simultáneos")&gt;3,SUMIFS($J$2:$J$201,$E$2:$E$201,E128,$AH$2:$AH$201,"Confirmado",$AG$2:$AG$201,"CO/SO₂ simultáneos")&gt;6),"CAPACIDAD EXCEDIDA","OK"),IF(OR(SUMIFS($F$2:$F$201,$E$2:$E$201,E128,$AH$2:$AH$201,"Confirmado")&gt;4,SUMIFS($G$2:$G$201,$E$2:$E$201,E128,$AH$2:$AH$201,"Confirmado")&gt;4,SUMIFS($H$2:$H$201,$E$2:$E$201,E128,$AH$2:$AH$201,"Confirmado")&gt;4,SUMIFS($I$2:$I$201,$E$2:$E$201,E128,$AH$2:$AH$201,"Confirmado")&gt;4),"CAPACIDAD EXCEDIDA","OK"))))</f>
        <v/>
      </c>
      <c r="AN128" s="2" t="str">
        <f aca="true">IF(A128="","",IF(AND(AC128&lt;1,Q128&lt;TODAY(),AH128="Aceptado pendiente de pago/orden"),"PLAZO VENCIDO",IF(AND(AC128&lt;1,AD128&lt;&gt;"",AD128&lt;TODAY()),"VENCIDO","OK")))</f>
        <v/>
      </c>
      <c r="AO128" s="6"/>
      <c r="AP128" s="8"/>
      <c r="AQ128" s="6"/>
      <c r="AR128" s="6" t="s">
        <v>73</v>
      </c>
      <c r="AS128" s="6"/>
      <c r="AT128" s="6"/>
      <c r="AU128" s="6"/>
      <c r="AV128" s="6"/>
      <c r="AW128" s="8" t="str">
        <f aca="false">IF(AV128="","",AV128+60)</f>
        <v/>
      </c>
      <c r="AX128" s="11" t="str">
        <f aca="true">IF(A128="","",IF(AND(AV128&lt;&gt;"",AW128&lt;TODAY(),OR(AH128="Interés",AH128="Cotizado")),"Sí","No"))</f>
        <v/>
      </c>
      <c r="AY128" s="6"/>
      <c r="AZ128" s="6"/>
      <c r="BA128" s="6"/>
      <c r="BB128" s="6"/>
      <c r="BC128" s="4"/>
      <c r="BD128" s="12"/>
    </row>
    <row r="129" customFormat="false" ht="23.8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2" t="n">
        <f aca="false">SUM(F129:I129)</f>
        <v>0</v>
      </c>
      <c r="K129" s="6"/>
      <c r="L129" s="6"/>
      <c r="M129" s="7"/>
      <c r="N129" s="7"/>
      <c r="O129" s="8"/>
      <c r="P129" s="8"/>
      <c r="Q129" s="8"/>
      <c r="R129" s="8"/>
      <c r="S129" s="8"/>
      <c r="T129" s="6"/>
      <c r="U129" s="6"/>
      <c r="V129" s="6"/>
      <c r="W129" s="6"/>
      <c r="X129" s="8"/>
      <c r="Y129" s="6"/>
      <c r="Z129" s="6"/>
      <c r="AA129" s="7"/>
      <c r="AB129" s="9" t="str">
        <f aca="false">IF(N129="","",MAX(0,N129-AA129))</f>
        <v/>
      </c>
      <c r="AC129" s="10" t="str">
        <f aca="false">IF(N129="","",IF(N129=0,0,AA129/N129))</f>
        <v/>
      </c>
      <c r="AD129" s="8"/>
      <c r="AE129" s="6"/>
      <c r="AF129" s="6"/>
      <c r="AG129" s="6"/>
      <c r="AH129" s="6"/>
      <c r="AI129" s="2" t="str">
        <f aca="false">IF(A129="","",IF(V129="Yes",IF(U129="Yes",1,2),""))</f>
        <v/>
      </c>
      <c r="AJ129" s="8"/>
      <c r="AK129" s="2" t="str">
        <f aca="false">IF(A129="","",IF(AJ129="","",COUNTIFS($E$2:$E$201,E129,$AI$2:$AI$201,AI129,$AJ$2:$AJ$201,"&lt;="&amp;AJ129)))</f>
        <v/>
      </c>
      <c r="AL129" s="2" t="str">
        <f aca="false">IF(A129="","",IF(AH129&lt;&gt;"Confirmado","No",IF(AG129="CO/SO₂ simultáneos",IF(OR(COUNTIFS($E$2:$E$201,E129,$AH$2:$AH$201,"Confirmado",$AG$2:$AG$201,"CO/SO₂ simultáneos")=3,SUMIFS($J$2:$J$201,$E$2:$E$201,E129,$AH$2:$AH$201,"Confirmado",$AG$2:$AG$201,"CO/SO₂ simultáneos")=6),"Sí","No"),IF(OR(AND(F129&gt;0,SUMIFS($F$2:$F$201,$E$2:$E$201,E129,$AH$2:$AH$201,"Confirmado")=4),AND(G129&gt;0,SUMIFS($G$2:$G$201,$E$2:$E$201,E129,$AH$2:$AH$201,"Confirmado")=4),AND(H129&gt;0,SUMIFS($H$2:$H$201,$E$2:$E$201,E129,$AH$2:$AH$201,"Confirmado")=4),AND(I129&gt;0,SUMIFS($I$2:$I$201,$E$2:$E$201,E129,$AH$2:$AH$201,"Confirmado")=4)),"Sí","No"))))</f>
        <v/>
      </c>
      <c r="AM129" s="2" t="str">
        <f aca="false">IF(A129="","",IF(AH129&lt;&gt;"Confirmado","",IF(AG129="CO/SO₂ simultáneos",IF(OR(COUNTIFS($E$2:$E$201,E129,$AH$2:$AH$201,"Confirmado",$AG$2:$AG$201,"CO/SO₂ simultáneos")&gt;3,SUMIFS($J$2:$J$201,$E$2:$E$201,E129,$AH$2:$AH$201,"Confirmado",$AG$2:$AG$201,"CO/SO₂ simultáneos")&gt;6),"CAPACIDAD EXCEDIDA","OK"),IF(OR(SUMIFS($F$2:$F$201,$E$2:$E$201,E129,$AH$2:$AH$201,"Confirmado")&gt;4,SUMIFS($G$2:$G$201,$E$2:$E$201,E129,$AH$2:$AH$201,"Confirmado")&gt;4,SUMIFS($H$2:$H$201,$E$2:$E$201,E129,$AH$2:$AH$201,"Confirmado")&gt;4,SUMIFS($I$2:$I$201,$E$2:$E$201,E129,$AH$2:$AH$201,"Confirmado")&gt;4),"CAPACIDAD EXCEDIDA","OK"))))</f>
        <v/>
      </c>
      <c r="AN129" s="2" t="str">
        <f aca="true">IF(A129="","",IF(AND(AC129&lt;1,Q129&lt;TODAY(),AH129="Aceptado pendiente de pago/orden"),"PLAZO VENCIDO",IF(AND(AC129&lt;1,AD129&lt;&gt;"",AD129&lt;TODAY()),"VENCIDO","OK")))</f>
        <v/>
      </c>
      <c r="AO129" s="6"/>
      <c r="AP129" s="8"/>
      <c r="AQ129" s="6"/>
      <c r="AR129" s="6" t="s">
        <v>73</v>
      </c>
      <c r="AS129" s="6"/>
      <c r="AT129" s="6"/>
      <c r="AU129" s="6"/>
      <c r="AV129" s="6"/>
      <c r="AW129" s="8" t="str">
        <f aca="false">IF(AV129="","",AV129+60)</f>
        <v/>
      </c>
      <c r="AX129" s="11" t="str">
        <f aca="true">IF(A129="","",IF(AND(AV129&lt;&gt;"",AW129&lt;TODAY(),OR(AH129="Interés",AH129="Cotizado")),"Sí","No"))</f>
        <v/>
      </c>
      <c r="AY129" s="6"/>
      <c r="AZ129" s="6"/>
      <c r="BA129" s="6"/>
      <c r="BB129" s="6"/>
      <c r="BC129" s="4"/>
      <c r="BD129" s="12"/>
    </row>
    <row r="130" customFormat="false" ht="23.8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2" t="n">
        <f aca="false">SUM(F130:I130)</f>
        <v>0</v>
      </c>
      <c r="K130" s="6"/>
      <c r="L130" s="6"/>
      <c r="M130" s="7"/>
      <c r="N130" s="7"/>
      <c r="O130" s="8"/>
      <c r="P130" s="8"/>
      <c r="Q130" s="8"/>
      <c r="R130" s="8"/>
      <c r="S130" s="8"/>
      <c r="T130" s="6"/>
      <c r="U130" s="6"/>
      <c r="V130" s="6"/>
      <c r="W130" s="6"/>
      <c r="X130" s="8"/>
      <c r="Y130" s="6"/>
      <c r="Z130" s="6"/>
      <c r="AA130" s="7"/>
      <c r="AB130" s="9" t="str">
        <f aca="false">IF(N130="","",MAX(0,N130-AA130))</f>
        <v/>
      </c>
      <c r="AC130" s="10" t="str">
        <f aca="false">IF(N130="","",IF(N130=0,0,AA130/N130))</f>
        <v/>
      </c>
      <c r="AD130" s="8"/>
      <c r="AE130" s="6"/>
      <c r="AF130" s="6"/>
      <c r="AG130" s="6"/>
      <c r="AH130" s="6"/>
      <c r="AI130" s="2" t="str">
        <f aca="false">IF(A130="","",IF(V130="Yes",IF(U130="Yes",1,2),""))</f>
        <v/>
      </c>
      <c r="AJ130" s="8"/>
      <c r="AK130" s="2" t="str">
        <f aca="false">IF(A130="","",IF(AJ130="","",COUNTIFS($E$2:$E$201,E130,$AI$2:$AI$201,AI130,$AJ$2:$AJ$201,"&lt;="&amp;AJ130)))</f>
        <v/>
      </c>
      <c r="AL130" s="2" t="str">
        <f aca="false">IF(A130="","",IF(AH130&lt;&gt;"Confirmado","No",IF(AG130="CO/SO₂ simultáneos",IF(OR(COUNTIFS($E$2:$E$201,E130,$AH$2:$AH$201,"Confirmado",$AG$2:$AG$201,"CO/SO₂ simultáneos")=3,SUMIFS($J$2:$J$201,$E$2:$E$201,E130,$AH$2:$AH$201,"Confirmado",$AG$2:$AG$201,"CO/SO₂ simultáneos")=6),"Sí","No"),IF(OR(AND(F130&gt;0,SUMIFS($F$2:$F$201,$E$2:$E$201,E130,$AH$2:$AH$201,"Confirmado")=4),AND(G130&gt;0,SUMIFS($G$2:$G$201,$E$2:$E$201,E130,$AH$2:$AH$201,"Confirmado")=4),AND(H130&gt;0,SUMIFS($H$2:$H$201,$E$2:$E$201,E130,$AH$2:$AH$201,"Confirmado")=4),AND(I130&gt;0,SUMIFS($I$2:$I$201,$E$2:$E$201,E130,$AH$2:$AH$201,"Confirmado")=4)),"Sí","No"))))</f>
        <v/>
      </c>
      <c r="AM130" s="2" t="str">
        <f aca="false">IF(A130="","",IF(AH130&lt;&gt;"Confirmado","",IF(AG130="CO/SO₂ simultáneos",IF(OR(COUNTIFS($E$2:$E$201,E130,$AH$2:$AH$201,"Confirmado",$AG$2:$AG$201,"CO/SO₂ simultáneos")&gt;3,SUMIFS($J$2:$J$201,$E$2:$E$201,E130,$AH$2:$AH$201,"Confirmado",$AG$2:$AG$201,"CO/SO₂ simultáneos")&gt;6),"CAPACIDAD EXCEDIDA","OK"),IF(OR(SUMIFS($F$2:$F$201,$E$2:$E$201,E130,$AH$2:$AH$201,"Confirmado")&gt;4,SUMIFS($G$2:$G$201,$E$2:$E$201,E130,$AH$2:$AH$201,"Confirmado")&gt;4,SUMIFS($H$2:$H$201,$E$2:$E$201,E130,$AH$2:$AH$201,"Confirmado")&gt;4,SUMIFS($I$2:$I$201,$E$2:$E$201,E130,$AH$2:$AH$201,"Confirmado")&gt;4),"CAPACIDAD EXCEDIDA","OK"))))</f>
        <v/>
      </c>
      <c r="AN130" s="2" t="str">
        <f aca="true">IF(A130="","",IF(AND(AC130&lt;1,Q130&lt;TODAY(),AH130="Aceptado pendiente de pago/orden"),"PLAZO VENCIDO",IF(AND(AC130&lt;1,AD130&lt;&gt;"",AD130&lt;TODAY()),"VENCIDO","OK")))</f>
        <v/>
      </c>
      <c r="AO130" s="6"/>
      <c r="AP130" s="8"/>
      <c r="AQ130" s="6"/>
      <c r="AR130" s="6" t="s">
        <v>73</v>
      </c>
      <c r="AS130" s="6"/>
      <c r="AT130" s="6"/>
      <c r="AU130" s="6"/>
      <c r="AV130" s="6"/>
      <c r="AW130" s="8" t="str">
        <f aca="false">IF(AV130="","",AV130+60)</f>
        <v/>
      </c>
      <c r="AX130" s="11" t="str">
        <f aca="true">IF(A130="","",IF(AND(AV130&lt;&gt;"",AW130&lt;TODAY(),OR(AH130="Interés",AH130="Cotizado")),"Sí","No"))</f>
        <v/>
      </c>
      <c r="AY130" s="6"/>
      <c r="AZ130" s="6"/>
      <c r="BA130" s="6"/>
      <c r="BB130" s="6"/>
      <c r="BC130" s="4"/>
      <c r="BD130" s="12"/>
    </row>
    <row r="131" customFormat="false" ht="23.8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2" t="n">
        <f aca="false">SUM(F131:I131)</f>
        <v>0</v>
      </c>
      <c r="K131" s="6"/>
      <c r="L131" s="6"/>
      <c r="M131" s="7"/>
      <c r="N131" s="7"/>
      <c r="O131" s="8"/>
      <c r="P131" s="8"/>
      <c r="Q131" s="8"/>
      <c r="R131" s="8"/>
      <c r="S131" s="8"/>
      <c r="T131" s="6"/>
      <c r="U131" s="6"/>
      <c r="V131" s="6"/>
      <c r="W131" s="6"/>
      <c r="X131" s="8"/>
      <c r="Y131" s="6"/>
      <c r="Z131" s="6"/>
      <c r="AA131" s="7"/>
      <c r="AB131" s="9" t="str">
        <f aca="false">IF(N131="","",MAX(0,N131-AA131))</f>
        <v/>
      </c>
      <c r="AC131" s="10" t="str">
        <f aca="false">IF(N131="","",IF(N131=0,0,AA131/N131))</f>
        <v/>
      </c>
      <c r="AD131" s="8"/>
      <c r="AE131" s="6"/>
      <c r="AF131" s="6"/>
      <c r="AG131" s="6"/>
      <c r="AH131" s="6"/>
      <c r="AI131" s="2" t="str">
        <f aca="false">IF(A131="","",IF(V131="Yes",IF(U131="Yes",1,2),""))</f>
        <v/>
      </c>
      <c r="AJ131" s="8"/>
      <c r="AK131" s="2" t="str">
        <f aca="false">IF(A131="","",IF(AJ131="","",COUNTIFS($E$2:$E$201,E131,$AI$2:$AI$201,AI131,$AJ$2:$AJ$201,"&lt;="&amp;AJ131)))</f>
        <v/>
      </c>
      <c r="AL131" s="2" t="str">
        <f aca="false">IF(A131="","",IF(AH131&lt;&gt;"Confirmado","No",IF(AG131="CO/SO₂ simultáneos",IF(OR(COUNTIFS($E$2:$E$201,E131,$AH$2:$AH$201,"Confirmado",$AG$2:$AG$201,"CO/SO₂ simultáneos")=3,SUMIFS($J$2:$J$201,$E$2:$E$201,E131,$AH$2:$AH$201,"Confirmado",$AG$2:$AG$201,"CO/SO₂ simultáneos")=6),"Sí","No"),IF(OR(AND(F131&gt;0,SUMIFS($F$2:$F$201,$E$2:$E$201,E131,$AH$2:$AH$201,"Confirmado")=4),AND(G131&gt;0,SUMIFS($G$2:$G$201,$E$2:$E$201,E131,$AH$2:$AH$201,"Confirmado")=4),AND(H131&gt;0,SUMIFS($H$2:$H$201,$E$2:$E$201,E131,$AH$2:$AH$201,"Confirmado")=4),AND(I131&gt;0,SUMIFS($I$2:$I$201,$E$2:$E$201,E131,$AH$2:$AH$201,"Confirmado")=4)),"Sí","No"))))</f>
        <v/>
      </c>
      <c r="AM131" s="2" t="str">
        <f aca="false">IF(A131="","",IF(AH131&lt;&gt;"Confirmado","",IF(AG131="CO/SO₂ simultáneos",IF(OR(COUNTIFS($E$2:$E$201,E131,$AH$2:$AH$201,"Confirmado",$AG$2:$AG$201,"CO/SO₂ simultáneos")&gt;3,SUMIFS($J$2:$J$201,$E$2:$E$201,E131,$AH$2:$AH$201,"Confirmado",$AG$2:$AG$201,"CO/SO₂ simultáneos")&gt;6),"CAPACIDAD EXCEDIDA","OK"),IF(OR(SUMIFS($F$2:$F$201,$E$2:$E$201,E131,$AH$2:$AH$201,"Confirmado")&gt;4,SUMIFS($G$2:$G$201,$E$2:$E$201,E131,$AH$2:$AH$201,"Confirmado")&gt;4,SUMIFS($H$2:$H$201,$E$2:$E$201,E131,$AH$2:$AH$201,"Confirmado")&gt;4,SUMIFS($I$2:$I$201,$E$2:$E$201,E131,$AH$2:$AH$201,"Confirmado")&gt;4),"CAPACIDAD EXCEDIDA","OK"))))</f>
        <v/>
      </c>
      <c r="AN131" s="2" t="str">
        <f aca="true">IF(A131="","",IF(AND(AC131&lt;1,Q131&lt;TODAY(),AH131="Aceptado pendiente de pago/orden"),"PLAZO VENCIDO",IF(AND(AC131&lt;1,AD131&lt;&gt;"",AD131&lt;TODAY()),"VENCIDO","OK")))</f>
        <v/>
      </c>
      <c r="AO131" s="6"/>
      <c r="AP131" s="8"/>
      <c r="AQ131" s="6"/>
      <c r="AR131" s="6" t="s">
        <v>73</v>
      </c>
      <c r="AS131" s="6"/>
      <c r="AT131" s="6"/>
      <c r="AU131" s="6"/>
      <c r="AV131" s="6"/>
      <c r="AW131" s="8" t="str">
        <f aca="false">IF(AV131="","",AV131+60)</f>
        <v/>
      </c>
      <c r="AX131" s="11" t="str">
        <f aca="true">IF(A131="","",IF(AND(AV131&lt;&gt;"",AW131&lt;TODAY(),OR(AH131="Interés",AH131="Cotizado")),"Sí","No"))</f>
        <v/>
      </c>
      <c r="AY131" s="6"/>
      <c r="AZ131" s="6"/>
      <c r="BA131" s="6"/>
      <c r="BB131" s="6"/>
      <c r="BC131" s="4"/>
      <c r="BD131" s="12"/>
    </row>
    <row r="132" customFormat="false" ht="23.8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2" t="n">
        <f aca="false">SUM(F132:I132)</f>
        <v>0</v>
      </c>
      <c r="K132" s="6"/>
      <c r="L132" s="6"/>
      <c r="M132" s="7"/>
      <c r="N132" s="7"/>
      <c r="O132" s="8"/>
      <c r="P132" s="8"/>
      <c r="Q132" s="8"/>
      <c r="R132" s="8"/>
      <c r="S132" s="8"/>
      <c r="T132" s="6"/>
      <c r="U132" s="6"/>
      <c r="V132" s="6"/>
      <c r="W132" s="6"/>
      <c r="X132" s="8"/>
      <c r="Y132" s="6"/>
      <c r="Z132" s="6"/>
      <c r="AA132" s="7"/>
      <c r="AB132" s="9" t="str">
        <f aca="false">IF(N132="","",MAX(0,N132-AA132))</f>
        <v/>
      </c>
      <c r="AC132" s="10" t="str">
        <f aca="false">IF(N132="","",IF(N132=0,0,AA132/N132))</f>
        <v/>
      </c>
      <c r="AD132" s="8"/>
      <c r="AE132" s="6"/>
      <c r="AF132" s="6"/>
      <c r="AG132" s="6"/>
      <c r="AH132" s="6"/>
      <c r="AI132" s="2" t="str">
        <f aca="false">IF(A132="","",IF(V132="Yes",IF(U132="Yes",1,2),""))</f>
        <v/>
      </c>
      <c r="AJ132" s="8"/>
      <c r="AK132" s="2" t="str">
        <f aca="false">IF(A132="","",IF(AJ132="","",COUNTIFS($E$2:$E$201,E132,$AI$2:$AI$201,AI132,$AJ$2:$AJ$201,"&lt;="&amp;AJ132)))</f>
        <v/>
      </c>
      <c r="AL132" s="2" t="str">
        <f aca="false">IF(A132="","",IF(AH132&lt;&gt;"Confirmado","No",IF(AG132="CO/SO₂ simultáneos",IF(OR(COUNTIFS($E$2:$E$201,E132,$AH$2:$AH$201,"Confirmado",$AG$2:$AG$201,"CO/SO₂ simultáneos")=3,SUMIFS($J$2:$J$201,$E$2:$E$201,E132,$AH$2:$AH$201,"Confirmado",$AG$2:$AG$201,"CO/SO₂ simultáneos")=6),"Sí","No"),IF(OR(AND(F132&gt;0,SUMIFS($F$2:$F$201,$E$2:$E$201,E132,$AH$2:$AH$201,"Confirmado")=4),AND(G132&gt;0,SUMIFS($G$2:$G$201,$E$2:$E$201,E132,$AH$2:$AH$201,"Confirmado")=4),AND(H132&gt;0,SUMIFS($H$2:$H$201,$E$2:$E$201,E132,$AH$2:$AH$201,"Confirmado")=4),AND(I132&gt;0,SUMIFS($I$2:$I$201,$E$2:$E$201,E132,$AH$2:$AH$201,"Confirmado")=4)),"Sí","No"))))</f>
        <v/>
      </c>
      <c r="AM132" s="2" t="str">
        <f aca="false">IF(A132="","",IF(AH132&lt;&gt;"Confirmado","",IF(AG132="CO/SO₂ simultáneos",IF(OR(COUNTIFS($E$2:$E$201,E132,$AH$2:$AH$201,"Confirmado",$AG$2:$AG$201,"CO/SO₂ simultáneos")&gt;3,SUMIFS($J$2:$J$201,$E$2:$E$201,E132,$AH$2:$AH$201,"Confirmado",$AG$2:$AG$201,"CO/SO₂ simultáneos")&gt;6),"CAPACIDAD EXCEDIDA","OK"),IF(OR(SUMIFS($F$2:$F$201,$E$2:$E$201,E132,$AH$2:$AH$201,"Confirmado")&gt;4,SUMIFS($G$2:$G$201,$E$2:$E$201,E132,$AH$2:$AH$201,"Confirmado")&gt;4,SUMIFS($H$2:$H$201,$E$2:$E$201,E132,$AH$2:$AH$201,"Confirmado")&gt;4,SUMIFS($I$2:$I$201,$E$2:$E$201,E132,$AH$2:$AH$201,"Confirmado")&gt;4),"CAPACIDAD EXCEDIDA","OK"))))</f>
        <v/>
      </c>
      <c r="AN132" s="2" t="str">
        <f aca="true">IF(A132="","",IF(AND(AC132&lt;1,Q132&lt;TODAY(),AH132="Aceptado pendiente de pago/orden"),"PLAZO VENCIDO",IF(AND(AC132&lt;1,AD132&lt;&gt;"",AD132&lt;TODAY()),"VENCIDO","OK")))</f>
        <v/>
      </c>
      <c r="AO132" s="6"/>
      <c r="AP132" s="8"/>
      <c r="AQ132" s="6"/>
      <c r="AR132" s="6" t="s">
        <v>73</v>
      </c>
      <c r="AS132" s="6"/>
      <c r="AT132" s="6"/>
      <c r="AU132" s="6"/>
      <c r="AV132" s="6"/>
      <c r="AW132" s="8" t="str">
        <f aca="false">IF(AV132="","",AV132+60)</f>
        <v/>
      </c>
      <c r="AX132" s="11" t="str">
        <f aca="true">IF(A132="","",IF(AND(AV132&lt;&gt;"",AW132&lt;TODAY(),OR(AH132="Interés",AH132="Cotizado")),"Sí","No"))</f>
        <v/>
      </c>
      <c r="AY132" s="6"/>
      <c r="AZ132" s="6"/>
      <c r="BA132" s="6"/>
      <c r="BB132" s="6"/>
      <c r="BC132" s="4"/>
      <c r="BD132" s="12"/>
    </row>
    <row r="133" customFormat="false" ht="23.8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2" t="n">
        <f aca="false">SUM(F133:I133)</f>
        <v>0</v>
      </c>
      <c r="K133" s="6"/>
      <c r="L133" s="6"/>
      <c r="M133" s="7"/>
      <c r="N133" s="7"/>
      <c r="O133" s="8"/>
      <c r="P133" s="8"/>
      <c r="Q133" s="8"/>
      <c r="R133" s="8"/>
      <c r="S133" s="8"/>
      <c r="T133" s="6"/>
      <c r="U133" s="6"/>
      <c r="V133" s="6"/>
      <c r="W133" s="6"/>
      <c r="X133" s="8"/>
      <c r="Y133" s="6"/>
      <c r="Z133" s="6"/>
      <c r="AA133" s="7"/>
      <c r="AB133" s="9" t="str">
        <f aca="false">IF(N133="","",MAX(0,N133-AA133))</f>
        <v/>
      </c>
      <c r="AC133" s="10" t="str">
        <f aca="false">IF(N133="","",IF(N133=0,0,AA133/N133))</f>
        <v/>
      </c>
      <c r="AD133" s="8"/>
      <c r="AE133" s="6"/>
      <c r="AF133" s="6"/>
      <c r="AG133" s="6"/>
      <c r="AH133" s="6"/>
      <c r="AI133" s="2" t="str">
        <f aca="false">IF(A133="","",IF(V133="Yes",IF(U133="Yes",1,2),""))</f>
        <v/>
      </c>
      <c r="AJ133" s="8"/>
      <c r="AK133" s="2" t="str">
        <f aca="false">IF(A133="","",IF(AJ133="","",COUNTIFS($E$2:$E$201,E133,$AI$2:$AI$201,AI133,$AJ$2:$AJ$201,"&lt;="&amp;AJ133)))</f>
        <v/>
      </c>
      <c r="AL133" s="2" t="str">
        <f aca="false">IF(A133="","",IF(AH133&lt;&gt;"Confirmado","No",IF(AG133="CO/SO₂ simultáneos",IF(OR(COUNTIFS($E$2:$E$201,E133,$AH$2:$AH$201,"Confirmado",$AG$2:$AG$201,"CO/SO₂ simultáneos")=3,SUMIFS($J$2:$J$201,$E$2:$E$201,E133,$AH$2:$AH$201,"Confirmado",$AG$2:$AG$201,"CO/SO₂ simultáneos")=6),"Sí","No"),IF(OR(AND(F133&gt;0,SUMIFS($F$2:$F$201,$E$2:$E$201,E133,$AH$2:$AH$201,"Confirmado")=4),AND(G133&gt;0,SUMIFS($G$2:$G$201,$E$2:$E$201,E133,$AH$2:$AH$201,"Confirmado")=4),AND(H133&gt;0,SUMIFS($H$2:$H$201,$E$2:$E$201,E133,$AH$2:$AH$201,"Confirmado")=4),AND(I133&gt;0,SUMIFS($I$2:$I$201,$E$2:$E$201,E133,$AH$2:$AH$201,"Confirmado")=4)),"Sí","No"))))</f>
        <v/>
      </c>
      <c r="AM133" s="2" t="str">
        <f aca="false">IF(A133="","",IF(AH133&lt;&gt;"Confirmado","",IF(AG133="CO/SO₂ simultáneos",IF(OR(COUNTIFS($E$2:$E$201,E133,$AH$2:$AH$201,"Confirmado",$AG$2:$AG$201,"CO/SO₂ simultáneos")&gt;3,SUMIFS($J$2:$J$201,$E$2:$E$201,E133,$AH$2:$AH$201,"Confirmado",$AG$2:$AG$201,"CO/SO₂ simultáneos")&gt;6),"CAPACIDAD EXCEDIDA","OK"),IF(OR(SUMIFS($F$2:$F$201,$E$2:$E$201,E133,$AH$2:$AH$201,"Confirmado")&gt;4,SUMIFS($G$2:$G$201,$E$2:$E$201,E133,$AH$2:$AH$201,"Confirmado")&gt;4,SUMIFS($H$2:$H$201,$E$2:$E$201,E133,$AH$2:$AH$201,"Confirmado")&gt;4,SUMIFS($I$2:$I$201,$E$2:$E$201,E133,$AH$2:$AH$201,"Confirmado")&gt;4),"CAPACIDAD EXCEDIDA","OK"))))</f>
        <v/>
      </c>
      <c r="AN133" s="2" t="str">
        <f aca="true">IF(A133="","",IF(AND(AC133&lt;1,Q133&lt;TODAY(),AH133="Aceptado pendiente de pago/orden"),"PLAZO VENCIDO",IF(AND(AC133&lt;1,AD133&lt;&gt;"",AD133&lt;TODAY()),"VENCIDO","OK")))</f>
        <v/>
      </c>
      <c r="AO133" s="6"/>
      <c r="AP133" s="8"/>
      <c r="AQ133" s="6"/>
      <c r="AR133" s="6" t="s">
        <v>73</v>
      </c>
      <c r="AS133" s="6"/>
      <c r="AT133" s="6"/>
      <c r="AU133" s="6"/>
      <c r="AV133" s="6"/>
      <c r="AW133" s="8" t="str">
        <f aca="false">IF(AV133="","",AV133+60)</f>
        <v/>
      </c>
      <c r="AX133" s="11" t="str">
        <f aca="true">IF(A133="","",IF(AND(AV133&lt;&gt;"",AW133&lt;TODAY(),OR(AH133="Interés",AH133="Cotizado")),"Sí","No"))</f>
        <v/>
      </c>
      <c r="AY133" s="6"/>
      <c r="AZ133" s="6"/>
      <c r="BA133" s="6"/>
      <c r="BB133" s="6"/>
      <c r="BC133" s="4"/>
      <c r="BD133" s="12"/>
    </row>
    <row r="134" customFormat="false" ht="23.8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2" t="n">
        <f aca="false">SUM(F134:I134)</f>
        <v>0</v>
      </c>
      <c r="K134" s="6"/>
      <c r="L134" s="6"/>
      <c r="M134" s="7"/>
      <c r="N134" s="7"/>
      <c r="O134" s="8"/>
      <c r="P134" s="8"/>
      <c r="Q134" s="8"/>
      <c r="R134" s="8"/>
      <c r="S134" s="8"/>
      <c r="T134" s="6"/>
      <c r="U134" s="6"/>
      <c r="V134" s="6"/>
      <c r="W134" s="6"/>
      <c r="X134" s="8"/>
      <c r="Y134" s="6"/>
      <c r="Z134" s="6"/>
      <c r="AA134" s="7"/>
      <c r="AB134" s="9" t="str">
        <f aca="false">IF(N134="","",MAX(0,N134-AA134))</f>
        <v/>
      </c>
      <c r="AC134" s="10" t="str">
        <f aca="false">IF(N134="","",IF(N134=0,0,AA134/N134))</f>
        <v/>
      </c>
      <c r="AD134" s="8"/>
      <c r="AE134" s="6"/>
      <c r="AF134" s="6"/>
      <c r="AG134" s="6"/>
      <c r="AH134" s="6"/>
      <c r="AI134" s="2" t="str">
        <f aca="false">IF(A134="","",IF(V134="Yes",IF(U134="Yes",1,2),""))</f>
        <v/>
      </c>
      <c r="AJ134" s="8"/>
      <c r="AK134" s="2" t="str">
        <f aca="false">IF(A134="","",IF(AJ134="","",COUNTIFS($E$2:$E$201,E134,$AI$2:$AI$201,AI134,$AJ$2:$AJ$201,"&lt;="&amp;AJ134)))</f>
        <v/>
      </c>
      <c r="AL134" s="2" t="str">
        <f aca="false">IF(A134="","",IF(AH134&lt;&gt;"Confirmado","No",IF(AG134="CO/SO₂ simultáneos",IF(OR(COUNTIFS($E$2:$E$201,E134,$AH$2:$AH$201,"Confirmado",$AG$2:$AG$201,"CO/SO₂ simultáneos")=3,SUMIFS($J$2:$J$201,$E$2:$E$201,E134,$AH$2:$AH$201,"Confirmado",$AG$2:$AG$201,"CO/SO₂ simultáneos")=6),"Sí","No"),IF(OR(AND(F134&gt;0,SUMIFS($F$2:$F$201,$E$2:$E$201,E134,$AH$2:$AH$201,"Confirmado")=4),AND(G134&gt;0,SUMIFS($G$2:$G$201,$E$2:$E$201,E134,$AH$2:$AH$201,"Confirmado")=4),AND(H134&gt;0,SUMIFS($H$2:$H$201,$E$2:$E$201,E134,$AH$2:$AH$201,"Confirmado")=4),AND(I134&gt;0,SUMIFS($I$2:$I$201,$E$2:$E$201,E134,$AH$2:$AH$201,"Confirmado")=4)),"Sí","No"))))</f>
        <v/>
      </c>
      <c r="AM134" s="2" t="str">
        <f aca="false">IF(A134="","",IF(AH134&lt;&gt;"Confirmado","",IF(AG134="CO/SO₂ simultáneos",IF(OR(COUNTIFS($E$2:$E$201,E134,$AH$2:$AH$201,"Confirmado",$AG$2:$AG$201,"CO/SO₂ simultáneos")&gt;3,SUMIFS($J$2:$J$201,$E$2:$E$201,E134,$AH$2:$AH$201,"Confirmado",$AG$2:$AG$201,"CO/SO₂ simultáneos")&gt;6),"CAPACIDAD EXCEDIDA","OK"),IF(OR(SUMIFS($F$2:$F$201,$E$2:$E$201,E134,$AH$2:$AH$201,"Confirmado")&gt;4,SUMIFS($G$2:$G$201,$E$2:$E$201,E134,$AH$2:$AH$201,"Confirmado")&gt;4,SUMIFS($H$2:$H$201,$E$2:$E$201,E134,$AH$2:$AH$201,"Confirmado")&gt;4,SUMIFS($I$2:$I$201,$E$2:$E$201,E134,$AH$2:$AH$201,"Confirmado")&gt;4),"CAPACIDAD EXCEDIDA","OK"))))</f>
        <v/>
      </c>
      <c r="AN134" s="2" t="str">
        <f aca="true">IF(A134="","",IF(AND(AC134&lt;1,Q134&lt;TODAY(),AH134="Aceptado pendiente de pago/orden"),"PLAZO VENCIDO",IF(AND(AC134&lt;1,AD134&lt;&gt;"",AD134&lt;TODAY()),"VENCIDO","OK")))</f>
        <v/>
      </c>
      <c r="AO134" s="6"/>
      <c r="AP134" s="8"/>
      <c r="AQ134" s="6"/>
      <c r="AR134" s="6" t="s">
        <v>73</v>
      </c>
      <c r="AS134" s="6"/>
      <c r="AT134" s="6"/>
      <c r="AU134" s="6"/>
      <c r="AV134" s="6"/>
      <c r="AW134" s="8" t="str">
        <f aca="false">IF(AV134="","",AV134+60)</f>
        <v/>
      </c>
      <c r="AX134" s="11" t="str">
        <f aca="true">IF(A134="","",IF(AND(AV134&lt;&gt;"",AW134&lt;TODAY(),OR(AH134="Interés",AH134="Cotizado")),"Sí","No"))</f>
        <v/>
      </c>
      <c r="AY134" s="6"/>
      <c r="AZ134" s="6"/>
      <c r="BA134" s="6"/>
      <c r="BB134" s="6"/>
      <c r="BC134" s="4"/>
      <c r="BD134" s="12"/>
    </row>
    <row r="135" customFormat="false" ht="23.8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2" t="n">
        <f aca="false">SUM(F135:I135)</f>
        <v>0</v>
      </c>
      <c r="K135" s="6"/>
      <c r="L135" s="6"/>
      <c r="M135" s="7"/>
      <c r="N135" s="7"/>
      <c r="O135" s="8"/>
      <c r="P135" s="8"/>
      <c r="Q135" s="8"/>
      <c r="R135" s="8"/>
      <c r="S135" s="8"/>
      <c r="T135" s="6"/>
      <c r="U135" s="6"/>
      <c r="V135" s="6"/>
      <c r="W135" s="6"/>
      <c r="X135" s="8"/>
      <c r="Y135" s="6"/>
      <c r="Z135" s="6"/>
      <c r="AA135" s="7"/>
      <c r="AB135" s="9" t="str">
        <f aca="false">IF(N135="","",MAX(0,N135-AA135))</f>
        <v/>
      </c>
      <c r="AC135" s="10" t="str">
        <f aca="false">IF(N135="","",IF(N135=0,0,AA135/N135))</f>
        <v/>
      </c>
      <c r="AD135" s="8"/>
      <c r="AE135" s="6"/>
      <c r="AF135" s="6"/>
      <c r="AG135" s="6"/>
      <c r="AH135" s="6"/>
      <c r="AI135" s="2" t="str">
        <f aca="false">IF(A135="","",IF(V135="Yes",IF(U135="Yes",1,2),""))</f>
        <v/>
      </c>
      <c r="AJ135" s="8"/>
      <c r="AK135" s="2" t="str">
        <f aca="false">IF(A135="","",IF(AJ135="","",COUNTIFS($E$2:$E$201,E135,$AI$2:$AI$201,AI135,$AJ$2:$AJ$201,"&lt;="&amp;AJ135)))</f>
        <v/>
      </c>
      <c r="AL135" s="2" t="str">
        <f aca="false">IF(A135="","",IF(AH135&lt;&gt;"Confirmado","No",IF(AG135="CO/SO₂ simultáneos",IF(OR(COUNTIFS($E$2:$E$201,E135,$AH$2:$AH$201,"Confirmado",$AG$2:$AG$201,"CO/SO₂ simultáneos")=3,SUMIFS($J$2:$J$201,$E$2:$E$201,E135,$AH$2:$AH$201,"Confirmado",$AG$2:$AG$201,"CO/SO₂ simultáneos")=6),"Sí","No"),IF(OR(AND(F135&gt;0,SUMIFS($F$2:$F$201,$E$2:$E$201,E135,$AH$2:$AH$201,"Confirmado")=4),AND(G135&gt;0,SUMIFS($G$2:$G$201,$E$2:$E$201,E135,$AH$2:$AH$201,"Confirmado")=4),AND(H135&gt;0,SUMIFS($H$2:$H$201,$E$2:$E$201,E135,$AH$2:$AH$201,"Confirmado")=4),AND(I135&gt;0,SUMIFS($I$2:$I$201,$E$2:$E$201,E135,$AH$2:$AH$201,"Confirmado")=4)),"Sí","No"))))</f>
        <v/>
      </c>
      <c r="AM135" s="2" t="str">
        <f aca="false">IF(A135="","",IF(AH135&lt;&gt;"Confirmado","",IF(AG135="CO/SO₂ simultáneos",IF(OR(COUNTIFS($E$2:$E$201,E135,$AH$2:$AH$201,"Confirmado",$AG$2:$AG$201,"CO/SO₂ simultáneos")&gt;3,SUMIFS($J$2:$J$201,$E$2:$E$201,E135,$AH$2:$AH$201,"Confirmado",$AG$2:$AG$201,"CO/SO₂ simultáneos")&gt;6),"CAPACIDAD EXCEDIDA","OK"),IF(OR(SUMIFS($F$2:$F$201,$E$2:$E$201,E135,$AH$2:$AH$201,"Confirmado")&gt;4,SUMIFS($G$2:$G$201,$E$2:$E$201,E135,$AH$2:$AH$201,"Confirmado")&gt;4,SUMIFS($H$2:$H$201,$E$2:$E$201,E135,$AH$2:$AH$201,"Confirmado")&gt;4,SUMIFS($I$2:$I$201,$E$2:$E$201,E135,$AH$2:$AH$201,"Confirmado")&gt;4),"CAPACIDAD EXCEDIDA","OK"))))</f>
        <v/>
      </c>
      <c r="AN135" s="2" t="str">
        <f aca="true">IF(A135="","",IF(AND(AC135&lt;1,Q135&lt;TODAY(),AH135="Aceptado pendiente de pago/orden"),"PLAZO VENCIDO",IF(AND(AC135&lt;1,AD135&lt;&gt;"",AD135&lt;TODAY()),"VENCIDO","OK")))</f>
        <v/>
      </c>
      <c r="AO135" s="6"/>
      <c r="AP135" s="8"/>
      <c r="AQ135" s="6"/>
      <c r="AR135" s="6" t="s">
        <v>73</v>
      </c>
      <c r="AS135" s="6"/>
      <c r="AT135" s="6"/>
      <c r="AU135" s="6"/>
      <c r="AV135" s="6"/>
      <c r="AW135" s="8" t="str">
        <f aca="false">IF(AV135="","",AV135+60)</f>
        <v/>
      </c>
      <c r="AX135" s="11" t="str">
        <f aca="true">IF(A135="","",IF(AND(AV135&lt;&gt;"",AW135&lt;TODAY(),OR(AH135="Interés",AH135="Cotizado")),"Sí","No"))</f>
        <v/>
      </c>
      <c r="AY135" s="6"/>
      <c r="AZ135" s="6"/>
      <c r="BA135" s="6"/>
      <c r="BB135" s="6"/>
      <c r="BC135" s="4"/>
      <c r="BD135" s="12"/>
    </row>
    <row r="136" customFormat="false" ht="23.8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2" t="n">
        <f aca="false">SUM(F136:I136)</f>
        <v>0</v>
      </c>
      <c r="K136" s="6"/>
      <c r="L136" s="6"/>
      <c r="M136" s="7"/>
      <c r="N136" s="7"/>
      <c r="O136" s="8"/>
      <c r="P136" s="8"/>
      <c r="Q136" s="8"/>
      <c r="R136" s="8"/>
      <c r="S136" s="8"/>
      <c r="T136" s="6"/>
      <c r="U136" s="6"/>
      <c r="V136" s="6"/>
      <c r="W136" s="6"/>
      <c r="X136" s="8"/>
      <c r="Y136" s="6"/>
      <c r="Z136" s="6"/>
      <c r="AA136" s="7"/>
      <c r="AB136" s="9" t="str">
        <f aca="false">IF(N136="","",MAX(0,N136-AA136))</f>
        <v/>
      </c>
      <c r="AC136" s="10" t="str">
        <f aca="false">IF(N136="","",IF(N136=0,0,AA136/N136))</f>
        <v/>
      </c>
      <c r="AD136" s="8"/>
      <c r="AE136" s="6"/>
      <c r="AF136" s="6"/>
      <c r="AG136" s="6"/>
      <c r="AH136" s="6"/>
      <c r="AI136" s="2" t="str">
        <f aca="false">IF(A136="","",IF(V136="Yes",IF(U136="Yes",1,2),""))</f>
        <v/>
      </c>
      <c r="AJ136" s="8"/>
      <c r="AK136" s="2" t="str">
        <f aca="false">IF(A136="","",IF(AJ136="","",COUNTIFS($E$2:$E$201,E136,$AI$2:$AI$201,AI136,$AJ$2:$AJ$201,"&lt;="&amp;AJ136)))</f>
        <v/>
      </c>
      <c r="AL136" s="2" t="str">
        <f aca="false">IF(A136="","",IF(AH136&lt;&gt;"Confirmado","No",IF(AG136="CO/SO₂ simultáneos",IF(OR(COUNTIFS($E$2:$E$201,E136,$AH$2:$AH$201,"Confirmado",$AG$2:$AG$201,"CO/SO₂ simultáneos")=3,SUMIFS($J$2:$J$201,$E$2:$E$201,E136,$AH$2:$AH$201,"Confirmado",$AG$2:$AG$201,"CO/SO₂ simultáneos")=6),"Sí","No"),IF(OR(AND(F136&gt;0,SUMIFS($F$2:$F$201,$E$2:$E$201,E136,$AH$2:$AH$201,"Confirmado")=4),AND(G136&gt;0,SUMIFS($G$2:$G$201,$E$2:$E$201,E136,$AH$2:$AH$201,"Confirmado")=4),AND(H136&gt;0,SUMIFS($H$2:$H$201,$E$2:$E$201,E136,$AH$2:$AH$201,"Confirmado")=4),AND(I136&gt;0,SUMIFS($I$2:$I$201,$E$2:$E$201,E136,$AH$2:$AH$201,"Confirmado")=4)),"Sí","No"))))</f>
        <v/>
      </c>
      <c r="AM136" s="2" t="str">
        <f aca="false">IF(A136="","",IF(AH136&lt;&gt;"Confirmado","",IF(AG136="CO/SO₂ simultáneos",IF(OR(COUNTIFS($E$2:$E$201,E136,$AH$2:$AH$201,"Confirmado",$AG$2:$AG$201,"CO/SO₂ simultáneos")&gt;3,SUMIFS($J$2:$J$201,$E$2:$E$201,E136,$AH$2:$AH$201,"Confirmado",$AG$2:$AG$201,"CO/SO₂ simultáneos")&gt;6),"CAPACIDAD EXCEDIDA","OK"),IF(OR(SUMIFS($F$2:$F$201,$E$2:$E$201,E136,$AH$2:$AH$201,"Confirmado")&gt;4,SUMIFS($G$2:$G$201,$E$2:$E$201,E136,$AH$2:$AH$201,"Confirmado")&gt;4,SUMIFS($H$2:$H$201,$E$2:$E$201,E136,$AH$2:$AH$201,"Confirmado")&gt;4,SUMIFS($I$2:$I$201,$E$2:$E$201,E136,$AH$2:$AH$201,"Confirmado")&gt;4),"CAPACIDAD EXCEDIDA","OK"))))</f>
        <v/>
      </c>
      <c r="AN136" s="2" t="str">
        <f aca="true">IF(A136="","",IF(AND(AC136&lt;1,Q136&lt;TODAY(),AH136="Aceptado pendiente de pago/orden"),"PLAZO VENCIDO",IF(AND(AC136&lt;1,AD136&lt;&gt;"",AD136&lt;TODAY()),"VENCIDO","OK")))</f>
        <v/>
      </c>
      <c r="AO136" s="6"/>
      <c r="AP136" s="8"/>
      <c r="AQ136" s="6"/>
      <c r="AR136" s="6" t="s">
        <v>73</v>
      </c>
      <c r="AS136" s="6"/>
      <c r="AT136" s="6"/>
      <c r="AU136" s="6"/>
      <c r="AV136" s="6"/>
      <c r="AW136" s="8" t="str">
        <f aca="false">IF(AV136="","",AV136+60)</f>
        <v/>
      </c>
      <c r="AX136" s="11" t="str">
        <f aca="true">IF(A136="","",IF(AND(AV136&lt;&gt;"",AW136&lt;TODAY(),OR(AH136="Interés",AH136="Cotizado")),"Sí","No"))</f>
        <v/>
      </c>
      <c r="AY136" s="6"/>
      <c r="AZ136" s="6"/>
      <c r="BA136" s="6"/>
      <c r="BB136" s="6"/>
      <c r="BC136" s="4"/>
      <c r="BD136" s="12"/>
    </row>
    <row r="137" customFormat="false" ht="23.8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2" t="n">
        <f aca="false">SUM(F137:I137)</f>
        <v>0</v>
      </c>
      <c r="K137" s="6"/>
      <c r="L137" s="6"/>
      <c r="M137" s="7"/>
      <c r="N137" s="7"/>
      <c r="O137" s="8"/>
      <c r="P137" s="8"/>
      <c r="Q137" s="8"/>
      <c r="R137" s="8"/>
      <c r="S137" s="8"/>
      <c r="T137" s="6"/>
      <c r="U137" s="6"/>
      <c r="V137" s="6"/>
      <c r="W137" s="6"/>
      <c r="X137" s="8"/>
      <c r="Y137" s="6"/>
      <c r="Z137" s="6"/>
      <c r="AA137" s="7"/>
      <c r="AB137" s="9" t="str">
        <f aca="false">IF(N137="","",MAX(0,N137-AA137))</f>
        <v/>
      </c>
      <c r="AC137" s="10" t="str">
        <f aca="false">IF(N137="","",IF(N137=0,0,AA137/N137))</f>
        <v/>
      </c>
      <c r="AD137" s="8"/>
      <c r="AE137" s="6"/>
      <c r="AF137" s="6"/>
      <c r="AG137" s="6"/>
      <c r="AH137" s="6"/>
      <c r="AI137" s="2" t="str">
        <f aca="false">IF(A137="","",IF(V137="Yes",IF(U137="Yes",1,2),""))</f>
        <v/>
      </c>
      <c r="AJ137" s="8"/>
      <c r="AK137" s="2" t="str">
        <f aca="false">IF(A137="","",IF(AJ137="","",COUNTIFS($E$2:$E$201,E137,$AI$2:$AI$201,AI137,$AJ$2:$AJ$201,"&lt;="&amp;AJ137)))</f>
        <v/>
      </c>
      <c r="AL137" s="2" t="str">
        <f aca="false">IF(A137="","",IF(AH137&lt;&gt;"Confirmado","No",IF(AG137="CO/SO₂ simultáneos",IF(OR(COUNTIFS($E$2:$E$201,E137,$AH$2:$AH$201,"Confirmado",$AG$2:$AG$201,"CO/SO₂ simultáneos")=3,SUMIFS($J$2:$J$201,$E$2:$E$201,E137,$AH$2:$AH$201,"Confirmado",$AG$2:$AG$201,"CO/SO₂ simultáneos")=6),"Sí","No"),IF(OR(AND(F137&gt;0,SUMIFS($F$2:$F$201,$E$2:$E$201,E137,$AH$2:$AH$201,"Confirmado")=4),AND(G137&gt;0,SUMIFS($G$2:$G$201,$E$2:$E$201,E137,$AH$2:$AH$201,"Confirmado")=4),AND(H137&gt;0,SUMIFS($H$2:$H$201,$E$2:$E$201,E137,$AH$2:$AH$201,"Confirmado")=4),AND(I137&gt;0,SUMIFS($I$2:$I$201,$E$2:$E$201,E137,$AH$2:$AH$201,"Confirmado")=4)),"Sí","No"))))</f>
        <v/>
      </c>
      <c r="AM137" s="2" t="str">
        <f aca="false">IF(A137="","",IF(AH137&lt;&gt;"Confirmado","",IF(AG137="CO/SO₂ simultáneos",IF(OR(COUNTIFS($E$2:$E$201,E137,$AH$2:$AH$201,"Confirmado",$AG$2:$AG$201,"CO/SO₂ simultáneos")&gt;3,SUMIFS($J$2:$J$201,$E$2:$E$201,E137,$AH$2:$AH$201,"Confirmado",$AG$2:$AG$201,"CO/SO₂ simultáneos")&gt;6),"CAPACIDAD EXCEDIDA","OK"),IF(OR(SUMIFS($F$2:$F$201,$E$2:$E$201,E137,$AH$2:$AH$201,"Confirmado")&gt;4,SUMIFS($G$2:$G$201,$E$2:$E$201,E137,$AH$2:$AH$201,"Confirmado")&gt;4,SUMIFS($H$2:$H$201,$E$2:$E$201,E137,$AH$2:$AH$201,"Confirmado")&gt;4,SUMIFS($I$2:$I$201,$E$2:$E$201,E137,$AH$2:$AH$201,"Confirmado")&gt;4),"CAPACIDAD EXCEDIDA","OK"))))</f>
        <v/>
      </c>
      <c r="AN137" s="2" t="str">
        <f aca="true">IF(A137="","",IF(AND(AC137&lt;1,Q137&lt;TODAY(),AH137="Aceptado pendiente de pago/orden"),"PLAZO VENCIDO",IF(AND(AC137&lt;1,AD137&lt;&gt;"",AD137&lt;TODAY()),"VENCIDO","OK")))</f>
        <v/>
      </c>
      <c r="AO137" s="6"/>
      <c r="AP137" s="8"/>
      <c r="AQ137" s="6"/>
      <c r="AR137" s="6" t="s">
        <v>73</v>
      </c>
      <c r="AS137" s="6"/>
      <c r="AT137" s="6"/>
      <c r="AU137" s="6"/>
      <c r="AV137" s="6"/>
      <c r="AW137" s="8" t="str">
        <f aca="false">IF(AV137="","",AV137+60)</f>
        <v/>
      </c>
      <c r="AX137" s="11" t="str">
        <f aca="true">IF(A137="","",IF(AND(AV137&lt;&gt;"",AW137&lt;TODAY(),OR(AH137="Interés",AH137="Cotizado")),"Sí","No"))</f>
        <v/>
      </c>
      <c r="AY137" s="6"/>
      <c r="AZ137" s="6"/>
      <c r="BA137" s="6"/>
      <c r="BB137" s="6"/>
      <c r="BC137" s="4"/>
      <c r="BD137" s="12"/>
    </row>
    <row r="138" customFormat="false" ht="23.8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2" t="n">
        <f aca="false">SUM(F138:I138)</f>
        <v>0</v>
      </c>
      <c r="K138" s="6"/>
      <c r="L138" s="6"/>
      <c r="M138" s="7"/>
      <c r="N138" s="7"/>
      <c r="O138" s="8"/>
      <c r="P138" s="8"/>
      <c r="Q138" s="8"/>
      <c r="R138" s="8"/>
      <c r="S138" s="8"/>
      <c r="T138" s="6"/>
      <c r="U138" s="6"/>
      <c r="V138" s="6"/>
      <c r="W138" s="6"/>
      <c r="X138" s="8"/>
      <c r="Y138" s="6"/>
      <c r="Z138" s="6"/>
      <c r="AA138" s="7"/>
      <c r="AB138" s="9" t="str">
        <f aca="false">IF(N138="","",MAX(0,N138-AA138))</f>
        <v/>
      </c>
      <c r="AC138" s="10" t="str">
        <f aca="false">IF(N138="","",IF(N138=0,0,AA138/N138))</f>
        <v/>
      </c>
      <c r="AD138" s="8"/>
      <c r="AE138" s="6"/>
      <c r="AF138" s="6"/>
      <c r="AG138" s="6"/>
      <c r="AH138" s="6"/>
      <c r="AI138" s="2" t="str">
        <f aca="false">IF(A138="","",IF(V138="Yes",IF(U138="Yes",1,2),""))</f>
        <v/>
      </c>
      <c r="AJ138" s="8"/>
      <c r="AK138" s="2" t="str">
        <f aca="false">IF(A138="","",IF(AJ138="","",COUNTIFS($E$2:$E$201,E138,$AI$2:$AI$201,AI138,$AJ$2:$AJ$201,"&lt;="&amp;AJ138)))</f>
        <v/>
      </c>
      <c r="AL138" s="2" t="str">
        <f aca="false">IF(A138="","",IF(AH138&lt;&gt;"Confirmado","No",IF(AG138="CO/SO₂ simultáneos",IF(OR(COUNTIFS($E$2:$E$201,E138,$AH$2:$AH$201,"Confirmado",$AG$2:$AG$201,"CO/SO₂ simultáneos")=3,SUMIFS($J$2:$J$201,$E$2:$E$201,E138,$AH$2:$AH$201,"Confirmado",$AG$2:$AG$201,"CO/SO₂ simultáneos")=6),"Sí","No"),IF(OR(AND(F138&gt;0,SUMIFS($F$2:$F$201,$E$2:$E$201,E138,$AH$2:$AH$201,"Confirmado")=4),AND(G138&gt;0,SUMIFS($G$2:$G$201,$E$2:$E$201,E138,$AH$2:$AH$201,"Confirmado")=4),AND(H138&gt;0,SUMIFS($H$2:$H$201,$E$2:$E$201,E138,$AH$2:$AH$201,"Confirmado")=4),AND(I138&gt;0,SUMIFS($I$2:$I$201,$E$2:$E$201,E138,$AH$2:$AH$201,"Confirmado")=4)),"Sí","No"))))</f>
        <v/>
      </c>
      <c r="AM138" s="2" t="str">
        <f aca="false">IF(A138="","",IF(AH138&lt;&gt;"Confirmado","",IF(AG138="CO/SO₂ simultáneos",IF(OR(COUNTIFS($E$2:$E$201,E138,$AH$2:$AH$201,"Confirmado",$AG$2:$AG$201,"CO/SO₂ simultáneos")&gt;3,SUMIFS($J$2:$J$201,$E$2:$E$201,E138,$AH$2:$AH$201,"Confirmado",$AG$2:$AG$201,"CO/SO₂ simultáneos")&gt;6),"CAPACIDAD EXCEDIDA","OK"),IF(OR(SUMIFS($F$2:$F$201,$E$2:$E$201,E138,$AH$2:$AH$201,"Confirmado")&gt;4,SUMIFS($G$2:$G$201,$E$2:$E$201,E138,$AH$2:$AH$201,"Confirmado")&gt;4,SUMIFS($H$2:$H$201,$E$2:$E$201,E138,$AH$2:$AH$201,"Confirmado")&gt;4,SUMIFS($I$2:$I$201,$E$2:$E$201,E138,$AH$2:$AH$201,"Confirmado")&gt;4),"CAPACIDAD EXCEDIDA","OK"))))</f>
        <v/>
      </c>
      <c r="AN138" s="2" t="str">
        <f aca="true">IF(A138="","",IF(AND(AC138&lt;1,Q138&lt;TODAY(),AH138="Aceptado pendiente de pago/orden"),"PLAZO VENCIDO",IF(AND(AC138&lt;1,AD138&lt;&gt;"",AD138&lt;TODAY()),"VENCIDO","OK")))</f>
        <v/>
      </c>
      <c r="AO138" s="6"/>
      <c r="AP138" s="8"/>
      <c r="AQ138" s="6"/>
      <c r="AR138" s="6" t="s">
        <v>73</v>
      </c>
      <c r="AS138" s="6"/>
      <c r="AT138" s="6"/>
      <c r="AU138" s="6"/>
      <c r="AV138" s="6"/>
      <c r="AW138" s="8" t="str">
        <f aca="false">IF(AV138="","",AV138+60)</f>
        <v/>
      </c>
      <c r="AX138" s="11" t="str">
        <f aca="true">IF(A138="","",IF(AND(AV138&lt;&gt;"",AW138&lt;TODAY(),OR(AH138="Interés",AH138="Cotizado")),"Sí","No"))</f>
        <v/>
      </c>
      <c r="AY138" s="6"/>
      <c r="AZ138" s="6"/>
      <c r="BA138" s="6"/>
      <c r="BB138" s="6"/>
      <c r="BC138" s="4"/>
      <c r="BD138" s="12"/>
    </row>
    <row r="139" customFormat="false" ht="23.8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2" t="n">
        <f aca="false">SUM(F139:I139)</f>
        <v>0</v>
      </c>
      <c r="K139" s="6"/>
      <c r="L139" s="6"/>
      <c r="M139" s="7"/>
      <c r="N139" s="7"/>
      <c r="O139" s="8"/>
      <c r="P139" s="8"/>
      <c r="Q139" s="8"/>
      <c r="R139" s="8"/>
      <c r="S139" s="8"/>
      <c r="T139" s="6"/>
      <c r="U139" s="6"/>
      <c r="V139" s="6"/>
      <c r="W139" s="6"/>
      <c r="X139" s="8"/>
      <c r="Y139" s="6"/>
      <c r="Z139" s="6"/>
      <c r="AA139" s="7"/>
      <c r="AB139" s="9" t="str">
        <f aca="false">IF(N139="","",MAX(0,N139-AA139))</f>
        <v/>
      </c>
      <c r="AC139" s="10" t="str">
        <f aca="false">IF(N139="","",IF(N139=0,0,AA139/N139))</f>
        <v/>
      </c>
      <c r="AD139" s="8"/>
      <c r="AE139" s="6"/>
      <c r="AF139" s="6"/>
      <c r="AG139" s="6"/>
      <c r="AH139" s="6"/>
      <c r="AI139" s="2" t="str">
        <f aca="false">IF(A139="","",IF(V139="Yes",IF(U139="Yes",1,2),""))</f>
        <v/>
      </c>
      <c r="AJ139" s="8"/>
      <c r="AK139" s="2" t="str">
        <f aca="false">IF(A139="","",IF(AJ139="","",COUNTIFS($E$2:$E$201,E139,$AI$2:$AI$201,AI139,$AJ$2:$AJ$201,"&lt;="&amp;AJ139)))</f>
        <v/>
      </c>
      <c r="AL139" s="2" t="str">
        <f aca="false">IF(A139="","",IF(AH139&lt;&gt;"Confirmado","No",IF(AG139="CO/SO₂ simultáneos",IF(OR(COUNTIFS($E$2:$E$201,E139,$AH$2:$AH$201,"Confirmado",$AG$2:$AG$201,"CO/SO₂ simultáneos")=3,SUMIFS($J$2:$J$201,$E$2:$E$201,E139,$AH$2:$AH$201,"Confirmado",$AG$2:$AG$201,"CO/SO₂ simultáneos")=6),"Sí","No"),IF(OR(AND(F139&gt;0,SUMIFS($F$2:$F$201,$E$2:$E$201,E139,$AH$2:$AH$201,"Confirmado")=4),AND(G139&gt;0,SUMIFS($G$2:$G$201,$E$2:$E$201,E139,$AH$2:$AH$201,"Confirmado")=4),AND(H139&gt;0,SUMIFS($H$2:$H$201,$E$2:$E$201,E139,$AH$2:$AH$201,"Confirmado")=4),AND(I139&gt;0,SUMIFS($I$2:$I$201,$E$2:$E$201,E139,$AH$2:$AH$201,"Confirmado")=4)),"Sí","No"))))</f>
        <v/>
      </c>
      <c r="AM139" s="2" t="str">
        <f aca="false">IF(A139="","",IF(AH139&lt;&gt;"Confirmado","",IF(AG139="CO/SO₂ simultáneos",IF(OR(COUNTIFS($E$2:$E$201,E139,$AH$2:$AH$201,"Confirmado",$AG$2:$AG$201,"CO/SO₂ simultáneos")&gt;3,SUMIFS($J$2:$J$201,$E$2:$E$201,E139,$AH$2:$AH$201,"Confirmado",$AG$2:$AG$201,"CO/SO₂ simultáneos")&gt;6),"CAPACIDAD EXCEDIDA","OK"),IF(OR(SUMIFS($F$2:$F$201,$E$2:$E$201,E139,$AH$2:$AH$201,"Confirmado")&gt;4,SUMIFS($G$2:$G$201,$E$2:$E$201,E139,$AH$2:$AH$201,"Confirmado")&gt;4,SUMIFS($H$2:$H$201,$E$2:$E$201,E139,$AH$2:$AH$201,"Confirmado")&gt;4,SUMIFS($I$2:$I$201,$E$2:$E$201,E139,$AH$2:$AH$201,"Confirmado")&gt;4),"CAPACIDAD EXCEDIDA","OK"))))</f>
        <v/>
      </c>
      <c r="AN139" s="2" t="str">
        <f aca="true">IF(A139="","",IF(AND(AC139&lt;1,Q139&lt;TODAY(),AH139="Aceptado pendiente de pago/orden"),"PLAZO VENCIDO",IF(AND(AC139&lt;1,AD139&lt;&gt;"",AD139&lt;TODAY()),"VENCIDO","OK")))</f>
        <v/>
      </c>
      <c r="AO139" s="6"/>
      <c r="AP139" s="8"/>
      <c r="AQ139" s="6"/>
      <c r="AR139" s="6" t="s">
        <v>73</v>
      </c>
      <c r="AS139" s="6"/>
      <c r="AT139" s="6"/>
      <c r="AU139" s="6"/>
      <c r="AV139" s="6"/>
      <c r="AW139" s="8" t="str">
        <f aca="false">IF(AV139="","",AV139+60)</f>
        <v/>
      </c>
      <c r="AX139" s="11" t="str">
        <f aca="true">IF(A139="","",IF(AND(AV139&lt;&gt;"",AW139&lt;TODAY(),OR(AH139="Interés",AH139="Cotizado")),"Sí","No"))</f>
        <v/>
      </c>
      <c r="AY139" s="6"/>
      <c r="AZ139" s="6"/>
      <c r="BA139" s="6"/>
      <c r="BB139" s="6"/>
      <c r="BC139" s="4"/>
      <c r="BD139" s="12"/>
    </row>
    <row r="140" customFormat="false" ht="23.8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2" t="n">
        <f aca="false">SUM(F140:I140)</f>
        <v>0</v>
      </c>
      <c r="K140" s="6"/>
      <c r="L140" s="6"/>
      <c r="M140" s="7"/>
      <c r="N140" s="7"/>
      <c r="O140" s="8"/>
      <c r="P140" s="8"/>
      <c r="Q140" s="8"/>
      <c r="R140" s="8"/>
      <c r="S140" s="8"/>
      <c r="T140" s="6"/>
      <c r="U140" s="6"/>
      <c r="V140" s="6"/>
      <c r="W140" s="6"/>
      <c r="X140" s="8"/>
      <c r="Y140" s="6"/>
      <c r="Z140" s="6"/>
      <c r="AA140" s="7"/>
      <c r="AB140" s="9" t="str">
        <f aca="false">IF(N140="","",MAX(0,N140-AA140))</f>
        <v/>
      </c>
      <c r="AC140" s="10" t="str">
        <f aca="false">IF(N140="","",IF(N140=0,0,AA140/N140))</f>
        <v/>
      </c>
      <c r="AD140" s="8"/>
      <c r="AE140" s="6"/>
      <c r="AF140" s="6"/>
      <c r="AG140" s="6"/>
      <c r="AH140" s="6"/>
      <c r="AI140" s="2" t="str">
        <f aca="false">IF(A140="","",IF(V140="Yes",IF(U140="Yes",1,2),""))</f>
        <v/>
      </c>
      <c r="AJ140" s="8"/>
      <c r="AK140" s="2" t="str">
        <f aca="false">IF(A140="","",IF(AJ140="","",COUNTIFS($E$2:$E$201,E140,$AI$2:$AI$201,AI140,$AJ$2:$AJ$201,"&lt;="&amp;AJ140)))</f>
        <v/>
      </c>
      <c r="AL140" s="2" t="str">
        <f aca="false">IF(A140="","",IF(AH140&lt;&gt;"Confirmado","No",IF(AG140="CO/SO₂ simultáneos",IF(OR(COUNTIFS($E$2:$E$201,E140,$AH$2:$AH$201,"Confirmado",$AG$2:$AG$201,"CO/SO₂ simultáneos")=3,SUMIFS($J$2:$J$201,$E$2:$E$201,E140,$AH$2:$AH$201,"Confirmado",$AG$2:$AG$201,"CO/SO₂ simultáneos")=6),"Sí","No"),IF(OR(AND(F140&gt;0,SUMIFS($F$2:$F$201,$E$2:$E$201,E140,$AH$2:$AH$201,"Confirmado")=4),AND(G140&gt;0,SUMIFS($G$2:$G$201,$E$2:$E$201,E140,$AH$2:$AH$201,"Confirmado")=4),AND(H140&gt;0,SUMIFS($H$2:$H$201,$E$2:$E$201,E140,$AH$2:$AH$201,"Confirmado")=4),AND(I140&gt;0,SUMIFS($I$2:$I$201,$E$2:$E$201,E140,$AH$2:$AH$201,"Confirmado")=4)),"Sí","No"))))</f>
        <v/>
      </c>
      <c r="AM140" s="2" t="str">
        <f aca="false">IF(A140="","",IF(AH140&lt;&gt;"Confirmado","",IF(AG140="CO/SO₂ simultáneos",IF(OR(COUNTIFS($E$2:$E$201,E140,$AH$2:$AH$201,"Confirmado",$AG$2:$AG$201,"CO/SO₂ simultáneos")&gt;3,SUMIFS($J$2:$J$201,$E$2:$E$201,E140,$AH$2:$AH$201,"Confirmado",$AG$2:$AG$201,"CO/SO₂ simultáneos")&gt;6),"CAPACIDAD EXCEDIDA","OK"),IF(OR(SUMIFS($F$2:$F$201,$E$2:$E$201,E140,$AH$2:$AH$201,"Confirmado")&gt;4,SUMIFS($G$2:$G$201,$E$2:$E$201,E140,$AH$2:$AH$201,"Confirmado")&gt;4,SUMIFS($H$2:$H$201,$E$2:$E$201,E140,$AH$2:$AH$201,"Confirmado")&gt;4,SUMIFS($I$2:$I$201,$E$2:$E$201,E140,$AH$2:$AH$201,"Confirmado")&gt;4),"CAPACIDAD EXCEDIDA","OK"))))</f>
        <v/>
      </c>
      <c r="AN140" s="2" t="str">
        <f aca="true">IF(A140="","",IF(AND(AC140&lt;1,Q140&lt;TODAY(),AH140="Aceptado pendiente de pago/orden"),"PLAZO VENCIDO",IF(AND(AC140&lt;1,AD140&lt;&gt;"",AD140&lt;TODAY()),"VENCIDO","OK")))</f>
        <v/>
      </c>
      <c r="AO140" s="6"/>
      <c r="AP140" s="8"/>
      <c r="AQ140" s="6"/>
      <c r="AR140" s="6" t="s">
        <v>73</v>
      </c>
      <c r="AS140" s="6"/>
      <c r="AT140" s="6"/>
      <c r="AU140" s="6"/>
      <c r="AV140" s="6"/>
      <c r="AW140" s="8" t="str">
        <f aca="false">IF(AV140="","",AV140+60)</f>
        <v/>
      </c>
      <c r="AX140" s="11" t="str">
        <f aca="true">IF(A140="","",IF(AND(AV140&lt;&gt;"",AW140&lt;TODAY(),OR(AH140="Interés",AH140="Cotizado")),"Sí","No"))</f>
        <v/>
      </c>
      <c r="AY140" s="6"/>
      <c r="AZ140" s="6"/>
      <c r="BA140" s="6"/>
      <c r="BB140" s="6"/>
      <c r="BC140" s="4"/>
      <c r="BD140" s="12"/>
    </row>
    <row r="141" customFormat="false" ht="23.8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2" t="n">
        <f aca="false">SUM(F141:I141)</f>
        <v>0</v>
      </c>
      <c r="K141" s="6"/>
      <c r="L141" s="6"/>
      <c r="M141" s="7"/>
      <c r="N141" s="7"/>
      <c r="O141" s="8"/>
      <c r="P141" s="8"/>
      <c r="Q141" s="8"/>
      <c r="R141" s="8"/>
      <c r="S141" s="8"/>
      <c r="T141" s="6"/>
      <c r="U141" s="6"/>
      <c r="V141" s="6"/>
      <c r="W141" s="6"/>
      <c r="X141" s="8"/>
      <c r="Y141" s="6"/>
      <c r="Z141" s="6"/>
      <c r="AA141" s="7"/>
      <c r="AB141" s="9" t="str">
        <f aca="false">IF(N141="","",MAX(0,N141-AA141))</f>
        <v/>
      </c>
      <c r="AC141" s="10" t="str">
        <f aca="false">IF(N141="","",IF(N141=0,0,AA141/N141))</f>
        <v/>
      </c>
      <c r="AD141" s="8"/>
      <c r="AE141" s="6"/>
      <c r="AF141" s="6"/>
      <c r="AG141" s="6"/>
      <c r="AH141" s="6"/>
      <c r="AI141" s="2" t="str">
        <f aca="false">IF(A141="","",IF(V141="Yes",IF(U141="Yes",1,2),""))</f>
        <v/>
      </c>
      <c r="AJ141" s="8"/>
      <c r="AK141" s="2" t="str">
        <f aca="false">IF(A141="","",IF(AJ141="","",COUNTIFS($E$2:$E$201,E141,$AI$2:$AI$201,AI141,$AJ$2:$AJ$201,"&lt;="&amp;AJ141)))</f>
        <v/>
      </c>
      <c r="AL141" s="2" t="str">
        <f aca="false">IF(A141="","",IF(AH141&lt;&gt;"Confirmado","No",IF(AG141="CO/SO₂ simultáneos",IF(OR(COUNTIFS($E$2:$E$201,E141,$AH$2:$AH$201,"Confirmado",$AG$2:$AG$201,"CO/SO₂ simultáneos")=3,SUMIFS($J$2:$J$201,$E$2:$E$201,E141,$AH$2:$AH$201,"Confirmado",$AG$2:$AG$201,"CO/SO₂ simultáneos")=6),"Sí","No"),IF(OR(AND(F141&gt;0,SUMIFS($F$2:$F$201,$E$2:$E$201,E141,$AH$2:$AH$201,"Confirmado")=4),AND(G141&gt;0,SUMIFS($G$2:$G$201,$E$2:$E$201,E141,$AH$2:$AH$201,"Confirmado")=4),AND(H141&gt;0,SUMIFS($H$2:$H$201,$E$2:$E$201,E141,$AH$2:$AH$201,"Confirmado")=4),AND(I141&gt;0,SUMIFS($I$2:$I$201,$E$2:$E$201,E141,$AH$2:$AH$201,"Confirmado")=4)),"Sí","No"))))</f>
        <v/>
      </c>
      <c r="AM141" s="2" t="str">
        <f aca="false">IF(A141="","",IF(AH141&lt;&gt;"Confirmado","",IF(AG141="CO/SO₂ simultáneos",IF(OR(COUNTIFS($E$2:$E$201,E141,$AH$2:$AH$201,"Confirmado",$AG$2:$AG$201,"CO/SO₂ simultáneos")&gt;3,SUMIFS($J$2:$J$201,$E$2:$E$201,E141,$AH$2:$AH$201,"Confirmado",$AG$2:$AG$201,"CO/SO₂ simultáneos")&gt;6),"CAPACIDAD EXCEDIDA","OK"),IF(OR(SUMIFS($F$2:$F$201,$E$2:$E$201,E141,$AH$2:$AH$201,"Confirmado")&gt;4,SUMIFS($G$2:$G$201,$E$2:$E$201,E141,$AH$2:$AH$201,"Confirmado")&gt;4,SUMIFS($H$2:$H$201,$E$2:$E$201,E141,$AH$2:$AH$201,"Confirmado")&gt;4,SUMIFS($I$2:$I$201,$E$2:$E$201,E141,$AH$2:$AH$201,"Confirmado")&gt;4),"CAPACIDAD EXCEDIDA","OK"))))</f>
        <v/>
      </c>
      <c r="AN141" s="2" t="str">
        <f aca="true">IF(A141="","",IF(AND(AC141&lt;1,Q141&lt;TODAY(),AH141="Aceptado pendiente de pago/orden"),"PLAZO VENCIDO",IF(AND(AC141&lt;1,AD141&lt;&gt;"",AD141&lt;TODAY()),"VENCIDO","OK")))</f>
        <v/>
      </c>
      <c r="AO141" s="6"/>
      <c r="AP141" s="8"/>
      <c r="AQ141" s="6"/>
      <c r="AR141" s="6" t="s">
        <v>73</v>
      </c>
      <c r="AS141" s="6"/>
      <c r="AT141" s="6"/>
      <c r="AU141" s="6"/>
      <c r="AV141" s="6"/>
      <c r="AW141" s="8" t="str">
        <f aca="false">IF(AV141="","",AV141+60)</f>
        <v/>
      </c>
      <c r="AX141" s="11" t="str">
        <f aca="true">IF(A141="","",IF(AND(AV141&lt;&gt;"",AW141&lt;TODAY(),OR(AH141="Interés",AH141="Cotizado")),"Sí","No"))</f>
        <v/>
      </c>
      <c r="AY141" s="6"/>
      <c r="AZ141" s="6"/>
      <c r="BA141" s="6"/>
      <c r="BB141" s="6"/>
      <c r="BC141" s="4"/>
      <c r="BD141" s="12"/>
    </row>
    <row r="142" customFormat="false" ht="23.8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2" t="n">
        <f aca="false">SUM(F142:I142)</f>
        <v>0</v>
      </c>
      <c r="K142" s="6"/>
      <c r="L142" s="6"/>
      <c r="M142" s="7"/>
      <c r="N142" s="7"/>
      <c r="O142" s="8"/>
      <c r="P142" s="8"/>
      <c r="Q142" s="8"/>
      <c r="R142" s="8"/>
      <c r="S142" s="8"/>
      <c r="T142" s="6"/>
      <c r="U142" s="6"/>
      <c r="V142" s="6"/>
      <c r="W142" s="6"/>
      <c r="X142" s="8"/>
      <c r="Y142" s="6"/>
      <c r="Z142" s="6"/>
      <c r="AA142" s="7"/>
      <c r="AB142" s="9" t="str">
        <f aca="false">IF(N142="","",MAX(0,N142-AA142))</f>
        <v/>
      </c>
      <c r="AC142" s="10" t="str">
        <f aca="false">IF(N142="","",IF(N142=0,0,AA142/N142))</f>
        <v/>
      </c>
      <c r="AD142" s="8"/>
      <c r="AE142" s="6"/>
      <c r="AF142" s="6"/>
      <c r="AG142" s="6"/>
      <c r="AH142" s="6"/>
      <c r="AI142" s="2" t="str">
        <f aca="false">IF(A142="","",IF(V142="Yes",IF(U142="Yes",1,2),""))</f>
        <v/>
      </c>
      <c r="AJ142" s="8"/>
      <c r="AK142" s="2" t="str">
        <f aca="false">IF(A142="","",IF(AJ142="","",COUNTIFS($E$2:$E$201,E142,$AI$2:$AI$201,AI142,$AJ$2:$AJ$201,"&lt;="&amp;AJ142)))</f>
        <v/>
      </c>
      <c r="AL142" s="2" t="str">
        <f aca="false">IF(A142="","",IF(AH142&lt;&gt;"Confirmado","No",IF(AG142="CO/SO₂ simultáneos",IF(OR(COUNTIFS($E$2:$E$201,E142,$AH$2:$AH$201,"Confirmado",$AG$2:$AG$201,"CO/SO₂ simultáneos")=3,SUMIFS($J$2:$J$201,$E$2:$E$201,E142,$AH$2:$AH$201,"Confirmado",$AG$2:$AG$201,"CO/SO₂ simultáneos")=6),"Sí","No"),IF(OR(AND(F142&gt;0,SUMIFS($F$2:$F$201,$E$2:$E$201,E142,$AH$2:$AH$201,"Confirmado")=4),AND(G142&gt;0,SUMIFS($G$2:$G$201,$E$2:$E$201,E142,$AH$2:$AH$201,"Confirmado")=4),AND(H142&gt;0,SUMIFS($H$2:$H$201,$E$2:$E$201,E142,$AH$2:$AH$201,"Confirmado")=4),AND(I142&gt;0,SUMIFS($I$2:$I$201,$E$2:$E$201,E142,$AH$2:$AH$201,"Confirmado")=4)),"Sí","No"))))</f>
        <v/>
      </c>
      <c r="AM142" s="2" t="str">
        <f aca="false">IF(A142="","",IF(AH142&lt;&gt;"Confirmado","",IF(AG142="CO/SO₂ simultáneos",IF(OR(COUNTIFS($E$2:$E$201,E142,$AH$2:$AH$201,"Confirmado",$AG$2:$AG$201,"CO/SO₂ simultáneos")&gt;3,SUMIFS($J$2:$J$201,$E$2:$E$201,E142,$AH$2:$AH$201,"Confirmado",$AG$2:$AG$201,"CO/SO₂ simultáneos")&gt;6),"CAPACIDAD EXCEDIDA","OK"),IF(OR(SUMIFS($F$2:$F$201,$E$2:$E$201,E142,$AH$2:$AH$201,"Confirmado")&gt;4,SUMIFS($G$2:$G$201,$E$2:$E$201,E142,$AH$2:$AH$201,"Confirmado")&gt;4,SUMIFS($H$2:$H$201,$E$2:$E$201,E142,$AH$2:$AH$201,"Confirmado")&gt;4,SUMIFS($I$2:$I$201,$E$2:$E$201,E142,$AH$2:$AH$201,"Confirmado")&gt;4),"CAPACIDAD EXCEDIDA","OK"))))</f>
        <v/>
      </c>
      <c r="AN142" s="2" t="str">
        <f aca="true">IF(A142="","",IF(AND(AC142&lt;1,Q142&lt;TODAY(),AH142="Aceptado pendiente de pago/orden"),"PLAZO VENCIDO",IF(AND(AC142&lt;1,AD142&lt;&gt;"",AD142&lt;TODAY()),"VENCIDO","OK")))</f>
        <v/>
      </c>
      <c r="AO142" s="6"/>
      <c r="AP142" s="8"/>
      <c r="AQ142" s="6"/>
      <c r="AR142" s="6" t="s">
        <v>73</v>
      </c>
      <c r="AS142" s="6"/>
      <c r="AT142" s="6"/>
      <c r="AU142" s="6"/>
      <c r="AV142" s="6"/>
      <c r="AW142" s="8" t="str">
        <f aca="false">IF(AV142="","",AV142+60)</f>
        <v/>
      </c>
      <c r="AX142" s="11" t="str">
        <f aca="true">IF(A142="","",IF(AND(AV142&lt;&gt;"",AW142&lt;TODAY(),OR(AH142="Interés",AH142="Cotizado")),"Sí","No"))</f>
        <v/>
      </c>
      <c r="AY142" s="6"/>
      <c r="AZ142" s="6"/>
      <c r="BA142" s="6"/>
      <c r="BB142" s="6"/>
      <c r="BC142" s="4"/>
      <c r="BD142" s="12"/>
    </row>
    <row r="143" customFormat="false" ht="23.8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2" t="n">
        <f aca="false">SUM(F143:I143)</f>
        <v>0</v>
      </c>
      <c r="K143" s="6"/>
      <c r="L143" s="6"/>
      <c r="M143" s="7"/>
      <c r="N143" s="7"/>
      <c r="O143" s="8"/>
      <c r="P143" s="8"/>
      <c r="Q143" s="8"/>
      <c r="R143" s="8"/>
      <c r="S143" s="8"/>
      <c r="T143" s="6"/>
      <c r="U143" s="6"/>
      <c r="V143" s="6"/>
      <c r="W143" s="6"/>
      <c r="X143" s="8"/>
      <c r="Y143" s="6"/>
      <c r="Z143" s="6"/>
      <c r="AA143" s="7"/>
      <c r="AB143" s="9" t="str">
        <f aca="false">IF(N143="","",MAX(0,N143-AA143))</f>
        <v/>
      </c>
      <c r="AC143" s="10" t="str">
        <f aca="false">IF(N143="","",IF(N143=0,0,AA143/N143))</f>
        <v/>
      </c>
      <c r="AD143" s="8"/>
      <c r="AE143" s="6"/>
      <c r="AF143" s="6"/>
      <c r="AG143" s="6"/>
      <c r="AH143" s="6"/>
      <c r="AI143" s="2" t="str">
        <f aca="false">IF(A143="","",IF(V143="Yes",IF(U143="Yes",1,2),""))</f>
        <v/>
      </c>
      <c r="AJ143" s="8"/>
      <c r="AK143" s="2" t="str">
        <f aca="false">IF(A143="","",IF(AJ143="","",COUNTIFS($E$2:$E$201,E143,$AI$2:$AI$201,AI143,$AJ$2:$AJ$201,"&lt;="&amp;AJ143)))</f>
        <v/>
      </c>
      <c r="AL143" s="2" t="str">
        <f aca="false">IF(A143="","",IF(AH143&lt;&gt;"Confirmado","No",IF(AG143="CO/SO₂ simultáneos",IF(OR(COUNTIFS($E$2:$E$201,E143,$AH$2:$AH$201,"Confirmado",$AG$2:$AG$201,"CO/SO₂ simultáneos")=3,SUMIFS($J$2:$J$201,$E$2:$E$201,E143,$AH$2:$AH$201,"Confirmado",$AG$2:$AG$201,"CO/SO₂ simultáneos")=6),"Sí","No"),IF(OR(AND(F143&gt;0,SUMIFS($F$2:$F$201,$E$2:$E$201,E143,$AH$2:$AH$201,"Confirmado")=4),AND(G143&gt;0,SUMIFS($G$2:$G$201,$E$2:$E$201,E143,$AH$2:$AH$201,"Confirmado")=4),AND(H143&gt;0,SUMIFS($H$2:$H$201,$E$2:$E$201,E143,$AH$2:$AH$201,"Confirmado")=4),AND(I143&gt;0,SUMIFS($I$2:$I$201,$E$2:$E$201,E143,$AH$2:$AH$201,"Confirmado")=4)),"Sí","No"))))</f>
        <v/>
      </c>
      <c r="AM143" s="2" t="str">
        <f aca="false">IF(A143="","",IF(AH143&lt;&gt;"Confirmado","",IF(AG143="CO/SO₂ simultáneos",IF(OR(COUNTIFS($E$2:$E$201,E143,$AH$2:$AH$201,"Confirmado",$AG$2:$AG$201,"CO/SO₂ simultáneos")&gt;3,SUMIFS($J$2:$J$201,$E$2:$E$201,E143,$AH$2:$AH$201,"Confirmado",$AG$2:$AG$201,"CO/SO₂ simultáneos")&gt;6),"CAPACIDAD EXCEDIDA","OK"),IF(OR(SUMIFS($F$2:$F$201,$E$2:$E$201,E143,$AH$2:$AH$201,"Confirmado")&gt;4,SUMIFS($G$2:$G$201,$E$2:$E$201,E143,$AH$2:$AH$201,"Confirmado")&gt;4,SUMIFS($H$2:$H$201,$E$2:$E$201,E143,$AH$2:$AH$201,"Confirmado")&gt;4,SUMIFS($I$2:$I$201,$E$2:$E$201,E143,$AH$2:$AH$201,"Confirmado")&gt;4),"CAPACIDAD EXCEDIDA","OK"))))</f>
        <v/>
      </c>
      <c r="AN143" s="2" t="str">
        <f aca="true">IF(A143="","",IF(AND(AC143&lt;1,Q143&lt;TODAY(),AH143="Aceptado pendiente de pago/orden"),"PLAZO VENCIDO",IF(AND(AC143&lt;1,AD143&lt;&gt;"",AD143&lt;TODAY()),"VENCIDO","OK")))</f>
        <v/>
      </c>
      <c r="AO143" s="6"/>
      <c r="AP143" s="8"/>
      <c r="AQ143" s="6"/>
      <c r="AR143" s="6" t="s">
        <v>73</v>
      </c>
      <c r="AS143" s="6"/>
      <c r="AT143" s="6"/>
      <c r="AU143" s="6"/>
      <c r="AV143" s="6"/>
      <c r="AW143" s="8" t="str">
        <f aca="false">IF(AV143="","",AV143+60)</f>
        <v/>
      </c>
      <c r="AX143" s="11" t="str">
        <f aca="true">IF(A143="","",IF(AND(AV143&lt;&gt;"",AW143&lt;TODAY(),OR(AH143="Interés",AH143="Cotizado")),"Sí","No"))</f>
        <v/>
      </c>
      <c r="AY143" s="6"/>
      <c r="AZ143" s="6"/>
      <c r="BA143" s="6"/>
      <c r="BB143" s="6"/>
      <c r="BC143" s="4"/>
      <c r="BD143" s="12"/>
    </row>
    <row r="144" customFormat="false" ht="23.8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2" t="n">
        <f aca="false">SUM(F144:I144)</f>
        <v>0</v>
      </c>
      <c r="K144" s="6"/>
      <c r="L144" s="6"/>
      <c r="M144" s="7"/>
      <c r="N144" s="7"/>
      <c r="O144" s="8"/>
      <c r="P144" s="8"/>
      <c r="Q144" s="8"/>
      <c r="R144" s="8"/>
      <c r="S144" s="8"/>
      <c r="T144" s="6"/>
      <c r="U144" s="6"/>
      <c r="V144" s="6"/>
      <c r="W144" s="6"/>
      <c r="X144" s="8"/>
      <c r="Y144" s="6"/>
      <c r="Z144" s="6"/>
      <c r="AA144" s="7"/>
      <c r="AB144" s="9" t="str">
        <f aca="false">IF(N144="","",MAX(0,N144-AA144))</f>
        <v/>
      </c>
      <c r="AC144" s="10" t="str">
        <f aca="false">IF(N144="","",IF(N144=0,0,AA144/N144))</f>
        <v/>
      </c>
      <c r="AD144" s="8"/>
      <c r="AE144" s="6"/>
      <c r="AF144" s="6"/>
      <c r="AG144" s="6"/>
      <c r="AH144" s="6"/>
      <c r="AI144" s="2" t="str">
        <f aca="false">IF(A144="","",IF(V144="Yes",IF(U144="Yes",1,2),""))</f>
        <v/>
      </c>
      <c r="AJ144" s="8"/>
      <c r="AK144" s="2" t="str">
        <f aca="false">IF(A144="","",IF(AJ144="","",COUNTIFS($E$2:$E$201,E144,$AI$2:$AI$201,AI144,$AJ$2:$AJ$201,"&lt;="&amp;AJ144)))</f>
        <v/>
      </c>
      <c r="AL144" s="2" t="str">
        <f aca="false">IF(A144="","",IF(AH144&lt;&gt;"Confirmado","No",IF(AG144="CO/SO₂ simultáneos",IF(OR(COUNTIFS($E$2:$E$201,E144,$AH$2:$AH$201,"Confirmado",$AG$2:$AG$201,"CO/SO₂ simultáneos")=3,SUMIFS($J$2:$J$201,$E$2:$E$201,E144,$AH$2:$AH$201,"Confirmado",$AG$2:$AG$201,"CO/SO₂ simultáneos")=6),"Sí","No"),IF(OR(AND(F144&gt;0,SUMIFS($F$2:$F$201,$E$2:$E$201,E144,$AH$2:$AH$201,"Confirmado")=4),AND(G144&gt;0,SUMIFS($G$2:$G$201,$E$2:$E$201,E144,$AH$2:$AH$201,"Confirmado")=4),AND(H144&gt;0,SUMIFS($H$2:$H$201,$E$2:$E$201,E144,$AH$2:$AH$201,"Confirmado")=4),AND(I144&gt;0,SUMIFS($I$2:$I$201,$E$2:$E$201,E144,$AH$2:$AH$201,"Confirmado")=4)),"Sí","No"))))</f>
        <v/>
      </c>
      <c r="AM144" s="2" t="str">
        <f aca="false">IF(A144="","",IF(AH144&lt;&gt;"Confirmado","",IF(AG144="CO/SO₂ simultáneos",IF(OR(COUNTIFS($E$2:$E$201,E144,$AH$2:$AH$201,"Confirmado",$AG$2:$AG$201,"CO/SO₂ simultáneos")&gt;3,SUMIFS($J$2:$J$201,$E$2:$E$201,E144,$AH$2:$AH$201,"Confirmado",$AG$2:$AG$201,"CO/SO₂ simultáneos")&gt;6),"CAPACIDAD EXCEDIDA","OK"),IF(OR(SUMIFS($F$2:$F$201,$E$2:$E$201,E144,$AH$2:$AH$201,"Confirmado")&gt;4,SUMIFS($G$2:$G$201,$E$2:$E$201,E144,$AH$2:$AH$201,"Confirmado")&gt;4,SUMIFS($H$2:$H$201,$E$2:$E$201,E144,$AH$2:$AH$201,"Confirmado")&gt;4,SUMIFS($I$2:$I$201,$E$2:$E$201,E144,$AH$2:$AH$201,"Confirmado")&gt;4),"CAPACIDAD EXCEDIDA","OK"))))</f>
        <v/>
      </c>
      <c r="AN144" s="2" t="str">
        <f aca="true">IF(A144="","",IF(AND(AC144&lt;1,Q144&lt;TODAY(),AH144="Aceptado pendiente de pago/orden"),"PLAZO VENCIDO",IF(AND(AC144&lt;1,AD144&lt;&gt;"",AD144&lt;TODAY()),"VENCIDO","OK")))</f>
        <v/>
      </c>
      <c r="AO144" s="6"/>
      <c r="AP144" s="8"/>
      <c r="AQ144" s="6"/>
      <c r="AR144" s="6" t="s">
        <v>73</v>
      </c>
      <c r="AS144" s="6"/>
      <c r="AT144" s="6"/>
      <c r="AU144" s="6"/>
      <c r="AV144" s="6"/>
      <c r="AW144" s="8" t="str">
        <f aca="false">IF(AV144="","",AV144+60)</f>
        <v/>
      </c>
      <c r="AX144" s="11" t="str">
        <f aca="true">IF(A144="","",IF(AND(AV144&lt;&gt;"",AW144&lt;TODAY(),OR(AH144="Interés",AH144="Cotizado")),"Sí","No"))</f>
        <v/>
      </c>
      <c r="AY144" s="6"/>
      <c r="AZ144" s="6"/>
      <c r="BA144" s="6"/>
      <c r="BB144" s="6"/>
      <c r="BC144" s="4"/>
      <c r="BD144" s="12"/>
    </row>
    <row r="145" customFormat="false" ht="23.8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2" t="n">
        <f aca="false">SUM(F145:I145)</f>
        <v>0</v>
      </c>
      <c r="K145" s="6"/>
      <c r="L145" s="6"/>
      <c r="M145" s="7"/>
      <c r="N145" s="7"/>
      <c r="O145" s="8"/>
      <c r="P145" s="8"/>
      <c r="Q145" s="8"/>
      <c r="R145" s="8"/>
      <c r="S145" s="8"/>
      <c r="T145" s="6"/>
      <c r="U145" s="6"/>
      <c r="V145" s="6"/>
      <c r="W145" s="6"/>
      <c r="X145" s="8"/>
      <c r="Y145" s="6"/>
      <c r="Z145" s="6"/>
      <c r="AA145" s="7"/>
      <c r="AB145" s="9" t="str">
        <f aca="false">IF(N145="","",MAX(0,N145-AA145))</f>
        <v/>
      </c>
      <c r="AC145" s="10" t="str">
        <f aca="false">IF(N145="","",IF(N145=0,0,AA145/N145))</f>
        <v/>
      </c>
      <c r="AD145" s="8"/>
      <c r="AE145" s="6"/>
      <c r="AF145" s="6"/>
      <c r="AG145" s="6"/>
      <c r="AH145" s="6"/>
      <c r="AI145" s="2" t="str">
        <f aca="false">IF(A145="","",IF(V145="Yes",IF(U145="Yes",1,2),""))</f>
        <v/>
      </c>
      <c r="AJ145" s="8"/>
      <c r="AK145" s="2" t="str">
        <f aca="false">IF(A145="","",IF(AJ145="","",COUNTIFS($E$2:$E$201,E145,$AI$2:$AI$201,AI145,$AJ$2:$AJ$201,"&lt;="&amp;AJ145)))</f>
        <v/>
      </c>
      <c r="AL145" s="2" t="str">
        <f aca="false">IF(A145="","",IF(AH145&lt;&gt;"Confirmado","No",IF(AG145="CO/SO₂ simultáneos",IF(OR(COUNTIFS($E$2:$E$201,E145,$AH$2:$AH$201,"Confirmado",$AG$2:$AG$201,"CO/SO₂ simultáneos")=3,SUMIFS($J$2:$J$201,$E$2:$E$201,E145,$AH$2:$AH$201,"Confirmado",$AG$2:$AG$201,"CO/SO₂ simultáneos")=6),"Sí","No"),IF(OR(AND(F145&gt;0,SUMIFS($F$2:$F$201,$E$2:$E$201,E145,$AH$2:$AH$201,"Confirmado")=4),AND(G145&gt;0,SUMIFS($G$2:$G$201,$E$2:$E$201,E145,$AH$2:$AH$201,"Confirmado")=4),AND(H145&gt;0,SUMIFS($H$2:$H$201,$E$2:$E$201,E145,$AH$2:$AH$201,"Confirmado")=4),AND(I145&gt;0,SUMIFS($I$2:$I$201,$E$2:$E$201,E145,$AH$2:$AH$201,"Confirmado")=4)),"Sí","No"))))</f>
        <v/>
      </c>
      <c r="AM145" s="2" t="str">
        <f aca="false">IF(A145="","",IF(AH145&lt;&gt;"Confirmado","",IF(AG145="CO/SO₂ simultáneos",IF(OR(COUNTIFS($E$2:$E$201,E145,$AH$2:$AH$201,"Confirmado",$AG$2:$AG$201,"CO/SO₂ simultáneos")&gt;3,SUMIFS($J$2:$J$201,$E$2:$E$201,E145,$AH$2:$AH$201,"Confirmado",$AG$2:$AG$201,"CO/SO₂ simultáneos")&gt;6),"CAPACIDAD EXCEDIDA","OK"),IF(OR(SUMIFS($F$2:$F$201,$E$2:$E$201,E145,$AH$2:$AH$201,"Confirmado")&gt;4,SUMIFS($G$2:$G$201,$E$2:$E$201,E145,$AH$2:$AH$201,"Confirmado")&gt;4,SUMIFS($H$2:$H$201,$E$2:$E$201,E145,$AH$2:$AH$201,"Confirmado")&gt;4,SUMIFS($I$2:$I$201,$E$2:$E$201,E145,$AH$2:$AH$201,"Confirmado")&gt;4),"CAPACIDAD EXCEDIDA","OK"))))</f>
        <v/>
      </c>
      <c r="AN145" s="2" t="str">
        <f aca="true">IF(A145="","",IF(AND(AC145&lt;1,Q145&lt;TODAY(),AH145="Aceptado pendiente de pago/orden"),"PLAZO VENCIDO",IF(AND(AC145&lt;1,AD145&lt;&gt;"",AD145&lt;TODAY()),"VENCIDO","OK")))</f>
        <v/>
      </c>
      <c r="AO145" s="6"/>
      <c r="AP145" s="8"/>
      <c r="AQ145" s="6"/>
      <c r="AR145" s="6" t="s">
        <v>73</v>
      </c>
      <c r="AS145" s="6"/>
      <c r="AT145" s="6"/>
      <c r="AU145" s="6"/>
      <c r="AV145" s="6"/>
      <c r="AW145" s="8" t="str">
        <f aca="false">IF(AV145="","",AV145+60)</f>
        <v/>
      </c>
      <c r="AX145" s="11" t="str">
        <f aca="true">IF(A145="","",IF(AND(AV145&lt;&gt;"",AW145&lt;TODAY(),OR(AH145="Interés",AH145="Cotizado")),"Sí","No"))</f>
        <v/>
      </c>
      <c r="AY145" s="6"/>
      <c r="AZ145" s="6"/>
      <c r="BA145" s="6"/>
      <c r="BB145" s="6"/>
      <c r="BC145" s="4"/>
      <c r="BD145" s="12"/>
    </row>
    <row r="146" customFormat="false" ht="23.8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2" t="n">
        <f aca="false">SUM(F146:I146)</f>
        <v>0</v>
      </c>
      <c r="K146" s="6"/>
      <c r="L146" s="6"/>
      <c r="M146" s="7"/>
      <c r="N146" s="7"/>
      <c r="O146" s="8"/>
      <c r="P146" s="8"/>
      <c r="Q146" s="8"/>
      <c r="R146" s="8"/>
      <c r="S146" s="8"/>
      <c r="T146" s="6"/>
      <c r="U146" s="6"/>
      <c r="V146" s="6"/>
      <c r="W146" s="6"/>
      <c r="X146" s="8"/>
      <c r="Y146" s="6"/>
      <c r="Z146" s="6"/>
      <c r="AA146" s="7"/>
      <c r="AB146" s="9" t="str">
        <f aca="false">IF(N146="","",MAX(0,N146-AA146))</f>
        <v/>
      </c>
      <c r="AC146" s="10" t="str">
        <f aca="false">IF(N146="","",IF(N146=0,0,AA146/N146))</f>
        <v/>
      </c>
      <c r="AD146" s="8"/>
      <c r="AE146" s="6"/>
      <c r="AF146" s="6"/>
      <c r="AG146" s="6"/>
      <c r="AH146" s="6"/>
      <c r="AI146" s="2" t="str">
        <f aca="false">IF(A146="","",IF(V146="Yes",IF(U146="Yes",1,2),""))</f>
        <v/>
      </c>
      <c r="AJ146" s="8"/>
      <c r="AK146" s="2" t="str">
        <f aca="false">IF(A146="","",IF(AJ146="","",COUNTIFS($E$2:$E$201,E146,$AI$2:$AI$201,AI146,$AJ$2:$AJ$201,"&lt;="&amp;AJ146)))</f>
        <v/>
      </c>
      <c r="AL146" s="2" t="str">
        <f aca="false">IF(A146="","",IF(AH146&lt;&gt;"Confirmado","No",IF(AG146="CO/SO₂ simultáneos",IF(OR(COUNTIFS($E$2:$E$201,E146,$AH$2:$AH$201,"Confirmado",$AG$2:$AG$201,"CO/SO₂ simultáneos")=3,SUMIFS($J$2:$J$201,$E$2:$E$201,E146,$AH$2:$AH$201,"Confirmado",$AG$2:$AG$201,"CO/SO₂ simultáneos")=6),"Sí","No"),IF(OR(AND(F146&gt;0,SUMIFS($F$2:$F$201,$E$2:$E$201,E146,$AH$2:$AH$201,"Confirmado")=4),AND(G146&gt;0,SUMIFS($G$2:$G$201,$E$2:$E$201,E146,$AH$2:$AH$201,"Confirmado")=4),AND(H146&gt;0,SUMIFS($H$2:$H$201,$E$2:$E$201,E146,$AH$2:$AH$201,"Confirmado")=4),AND(I146&gt;0,SUMIFS($I$2:$I$201,$E$2:$E$201,E146,$AH$2:$AH$201,"Confirmado")=4)),"Sí","No"))))</f>
        <v/>
      </c>
      <c r="AM146" s="2" t="str">
        <f aca="false">IF(A146="","",IF(AH146&lt;&gt;"Confirmado","",IF(AG146="CO/SO₂ simultáneos",IF(OR(COUNTIFS($E$2:$E$201,E146,$AH$2:$AH$201,"Confirmado",$AG$2:$AG$201,"CO/SO₂ simultáneos")&gt;3,SUMIFS($J$2:$J$201,$E$2:$E$201,E146,$AH$2:$AH$201,"Confirmado",$AG$2:$AG$201,"CO/SO₂ simultáneos")&gt;6),"CAPACIDAD EXCEDIDA","OK"),IF(OR(SUMIFS($F$2:$F$201,$E$2:$E$201,E146,$AH$2:$AH$201,"Confirmado")&gt;4,SUMIFS($G$2:$G$201,$E$2:$E$201,E146,$AH$2:$AH$201,"Confirmado")&gt;4,SUMIFS($H$2:$H$201,$E$2:$E$201,E146,$AH$2:$AH$201,"Confirmado")&gt;4,SUMIFS($I$2:$I$201,$E$2:$E$201,E146,$AH$2:$AH$201,"Confirmado")&gt;4),"CAPACIDAD EXCEDIDA","OK"))))</f>
        <v/>
      </c>
      <c r="AN146" s="2" t="str">
        <f aca="true">IF(A146="","",IF(AND(AC146&lt;1,Q146&lt;TODAY(),AH146="Aceptado pendiente de pago/orden"),"PLAZO VENCIDO",IF(AND(AC146&lt;1,AD146&lt;&gt;"",AD146&lt;TODAY()),"VENCIDO","OK")))</f>
        <v/>
      </c>
      <c r="AO146" s="6"/>
      <c r="AP146" s="8"/>
      <c r="AQ146" s="6"/>
      <c r="AR146" s="6" t="s">
        <v>73</v>
      </c>
      <c r="AS146" s="6"/>
      <c r="AT146" s="6"/>
      <c r="AU146" s="6"/>
      <c r="AV146" s="6"/>
      <c r="AW146" s="8" t="str">
        <f aca="false">IF(AV146="","",AV146+60)</f>
        <v/>
      </c>
      <c r="AX146" s="11" t="str">
        <f aca="true">IF(A146="","",IF(AND(AV146&lt;&gt;"",AW146&lt;TODAY(),OR(AH146="Interés",AH146="Cotizado")),"Sí","No"))</f>
        <v/>
      </c>
      <c r="AY146" s="6"/>
      <c r="AZ146" s="6"/>
      <c r="BA146" s="6"/>
      <c r="BB146" s="6"/>
      <c r="BC146" s="4"/>
      <c r="BD146" s="12"/>
    </row>
    <row r="147" customFormat="false" ht="23.8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2" t="n">
        <f aca="false">SUM(F147:I147)</f>
        <v>0</v>
      </c>
      <c r="K147" s="6"/>
      <c r="L147" s="6"/>
      <c r="M147" s="7"/>
      <c r="N147" s="7"/>
      <c r="O147" s="8"/>
      <c r="P147" s="8"/>
      <c r="Q147" s="8"/>
      <c r="R147" s="8"/>
      <c r="S147" s="8"/>
      <c r="T147" s="6"/>
      <c r="U147" s="6"/>
      <c r="V147" s="6"/>
      <c r="W147" s="6"/>
      <c r="X147" s="8"/>
      <c r="Y147" s="6"/>
      <c r="Z147" s="6"/>
      <c r="AA147" s="7"/>
      <c r="AB147" s="9" t="str">
        <f aca="false">IF(N147="","",MAX(0,N147-AA147))</f>
        <v/>
      </c>
      <c r="AC147" s="10" t="str">
        <f aca="false">IF(N147="","",IF(N147=0,0,AA147/N147))</f>
        <v/>
      </c>
      <c r="AD147" s="8"/>
      <c r="AE147" s="6"/>
      <c r="AF147" s="6"/>
      <c r="AG147" s="6"/>
      <c r="AH147" s="6"/>
      <c r="AI147" s="2" t="str">
        <f aca="false">IF(A147="","",IF(V147="Yes",IF(U147="Yes",1,2),""))</f>
        <v/>
      </c>
      <c r="AJ147" s="8"/>
      <c r="AK147" s="2" t="str">
        <f aca="false">IF(A147="","",IF(AJ147="","",COUNTIFS($E$2:$E$201,E147,$AI$2:$AI$201,AI147,$AJ$2:$AJ$201,"&lt;="&amp;AJ147)))</f>
        <v/>
      </c>
      <c r="AL147" s="2" t="str">
        <f aca="false">IF(A147="","",IF(AH147&lt;&gt;"Confirmado","No",IF(AG147="CO/SO₂ simultáneos",IF(OR(COUNTIFS($E$2:$E$201,E147,$AH$2:$AH$201,"Confirmado",$AG$2:$AG$201,"CO/SO₂ simultáneos")=3,SUMIFS($J$2:$J$201,$E$2:$E$201,E147,$AH$2:$AH$201,"Confirmado",$AG$2:$AG$201,"CO/SO₂ simultáneos")=6),"Sí","No"),IF(OR(AND(F147&gt;0,SUMIFS($F$2:$F$201,$E$2:$E$201,E147,$AH$2:$AH$201,"Confirmado")=4),AND(G147&gt;0,SUMIFS($G$2:$G$201,$E$2:$E$201,E147,$AH$2:$AH$201,"Confirmado")=4),AND(H147&gt;0,SUMIFS($H$2:$H$201,$E$2:$E$201,E147,$AH$2:$AH$201,"Confirmado")=4),AND(I147&gt;0,SUMIFS($I$2:$I$201,$E$2:$E$201,E147,$AH$2:$AH$201,"Confirmado")=4)),"Sí","No"))))</f>
        <v/>
      </c>
      <c r="AM147" s="2" t="str">
        <f aca="false">IF(A147="","",IF(AH147&lt;&gt;"Confirmado","",IF(AG147="CO/SO₂ simultáneos",IF(OR(COUNTIFS($E$2:$E$201,E147,$AH$2:$AH$201,"Confirmado",$AG$2:$AG$201,"CO/SO₂ simultáneos")&gt;3,SUMIFS($J$2:$J$201,$E$2:$E$201,E147,$AH$2:$AH$201,"Confirmado",$AG$2:$AG$201,"CO/SO₂ simultáneos")&gt;6),"CAPACIDAD EXCEDIDA","OK"),IF(OR(SUMIFS($F$2:$F$201,$E$2:$E$201,E147,$AH$2:$AH$201,"Confirmado")&gt;4,SUMIFS($G$2:$G$201,$E$2:$E$201,E147,$AH$2:$AH$201,"Confirmado")&gt;4,SUMIFS($H$2:$H$201,$E$2:$E$201,E147,$AH$2:$AH$201,"Confirmado")&gt;4,SUMIFS($I$2:$I$201,$E$2:$E$201,E147,$AH$2:$AH$201,"Confirmado")&gt;4),"CAPACIDAD EXCEDIDA","OK"))))</f>
        <v/>
      </c>
      <c r="AN147" s="2" t="str">
        <f aca="true">IF(A147="","",IF(AND(AC147&lt;1,Q147&lt;TODAY(),AH147="Aceptado pendiente de pago/orden"),"PLAZO VENCIDO",IF(AND(AC147&lt;1,AD147&lt;&gt;"",AD147&lt;TODAY()),"VENCIDO","OK")))</f>
        <v/>
      </c>
      <c r="AO147" s="6"/>
      <c r="AP147" s="8"/>
      <c r="AQ147" s="6"/>
      <c r="AR147" s="6" t="s">
        <v>73</v>
      </c>
      <c r="AS147" s="6"/>
      <c r="AT147" s="6"/>
      <c r="AU147" s="6"/>
      <c r="AV147" s="6"/>
      <c r="AW147" s="8" t="str">
        <f aca="false">IF(AV147="","",AV147+60)</f>
        <v/>
      </c>
      <c r="AX147" s="11" t="str">
        <f aca="true">IF(A147="","",IF(AND(AV147&lt;&gt;"",AW147&lt;TODAY(),OR(AH147="Interés",AH147="Cotizado")),"Sí","No"))</f>
        <v/>
      </c>
      <c r="AY147" s="6"/>
      <c r="AZ147" s="6"/>
      <c r="BA147" s="6"/>
      <c r="BB147" s="6"/>
      <c r="BC147" s="4"/>
      <c r="BD147" s="12"/>
    </row>
    <row r="148" customFormat="false" ht="23.8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2" t="n">
        <f aca="false">SUM(F148:I148)</f>
        <v>0</v>
      </c>
      <c r="K148" s="6"/>
      <c r="L148" s="6"/>
      <c r="M148" s="7"/>
      <c r="N148" s="7"/>
      <c r="O148" s="8"/>
      <c r="P148" s="8"/>
      <c r="Q148" s="8"/>
      <c r="R148" s="8"/>
      <c r="S148" s="8"/>
      <c r="T148" s="6"/>
      <c r="U148" s="6"/>
      <c r="V148" s="6"/>
      <c r="W148" s="6"/>
      <c r="X148" s="8"/>
      <c r="Y148" s="6"/>
      <c r="Z148" s="6"/>
      <c r="AA148" s="7"/>
      <c r="AB148" s="9" t="str">
        <f aca="false">IF(N148="","",MAX(0,N148-AA148))</f>
        <v/>
      </c>
      <c r="AC148" s="10" t="str">
        <f aca="false">IF(N148="","",IF(N148=0,0,AA148/N148))</f>
        <v/>
      </c>
      <c r="AD148" s="8"/>
      <c r="AE148" s="6"/>
      <c r="AF148" s="6"/>
      <c r="AG148" s="6"/>
      <c r="AH148" s="6"/>
      <c r="AI148" s="2" t="str">
        <f aca="false">IF(A148="","",IF(V148="Yes",IF(U148="Yes",1,2),""))</f>
        <v/>
      </c>
      <c r="AJ148" s="8"/>
      <c r="AK148" s="2" t="str">
        <f aca="false">IF(A148="","",IF(AJ148="","",COUNTIFS($E$2:$E$201,E148,$AI$2:$AI$201,AI148,$AJ$2:$AJ$201,"&lt;="&amp;AJ148)))</f>
        <v/>
      </c>
      <c r="AL148" s="2" t="str">
        <f aca="false">IF(A148="","",IF(AH148&lt;&gt;"Confirmado","No",IF(AG148="CO/SO₂ simultáneos",IF(OR(COUNTIFS($E$2:$E$201,E148,$AH$2:$AH$201,"Confirmado",$AG$2:$AG$201,"CO/SO₂ simultáneos")=3,SUMIFS($J$2:$J$201,$E$2:$E$201,E148,$AH$2:$AH$201,"Confirmado",$AG$2:$AG$201,"CO/SO₂ simultáneos")=6),"Sí","No"),IF(OR(AND(F148&gt;0,SUMIFS($F$2:$F$201,$E$2:$E$201,E148,$AH$2:$AH$201,"Confirmado")=4),AND(G148&gt;0,SUMIFS($G$2:$G$201,$E$2:$E$201,E148,$AH$2:$AH$201,"Confirmado")=4),AND(H148&gt;0,SUMIFS($H$2:$H$201,$E$2:$E$201,E148,$AH$2:$AH$201,"Confirmado")=4),AND(I148&gt;0,SUMIFS($I$2:$I$201,$E$2:$E$201,E148,$AH$2:$AH$201,"Confirmado")=4)),"Sí","No"))))</f>
        <v/>
      </c>
      <c r="AM148" s="2" t="str">
        <f aca="false">IF(A148="","",IF(AH148&lt;&gt;"Confirmado","",IF(AG148="CO/SO₂ simultáneos",IF(OR(COUNTIFS($E$2:$E$201,E148,$AH$2:$AH$201,"Confirmado",$AG$2:$AG$201,"CO/SO₂ simultáneos")&gt;3,SUMIFS($J$2:$J$201,$E$2:$E$201,E148,$AH$2:$AH$201,"Confirmado",$AG$2:$AG$201,"CO/SO₂ simultáneos")&gt;6),"CAPACIDAD EXCEDIDA","OK"),IF(OR(SUMIFS($F$2:$F$201,$E$2:$E$201,E148,$AH$2:$AH$201,"Confirmado")&gt;4,SUMIFS($G$2:$G$201,$E$2:$E$201,E148,$AH$2:$AH$201,"Confirmado")&gt;4,SUMIFS($H$2:$H$201,$E$2:$E$201,E148,$AH$2:$AH$201,"Confirmado")&gt;4,SUMIFS($I$2:$I$201,$E$2:$E$201,E148,$AH$2:$AH$201,"Confirmado")&gt;4),"CAPACIDAD EXCEDIDA","OK"))))</f>
        <v/>
      </c>
      <c r="AN148" s="2" t="str">
        <f aca="true">IF(A148="","",IF(AND(AC148&lt;1,Q148&lt;TODAY(),AH148="Aceptado pendiente de pago/orden"),"PLAZO VENCIDO",IF(AND(AC148&lt;1,AD148&lt;&gt;"",AD148&lt;TODAY()),"VENCIDO","OK")))</f>
        <v/>
      </c>
      <c r="AO148" s="6"/>
      <c r="AP148" s="8"/>
      <c r="AQ148" s="6"/>
      <c r="AR148" s="6" t="s">
        <v>73</v>
      </c>
      <c r="AS148" s="6"/>
      <c r="AT148" s="6"/>
      <c r="AU148" s="6"/>
      <c r="AV148" s="6"/>
      <c r="AW148" s="8" t="str">
        <f aca="false">IF(AV148="","",AV148+60)</f>
        <v/>
      </c>
      <c r="AX148" s="11" t="str">
        <f aca="true">IF(A148="","",IF(AND(AV148&lt;&gt;"",AW148&lt;TODAY(),OR(AH148="Interés",AH148="Cotizado")),"Sí","No"))</f>
        <v/>
      </c>
      <c r="AY148" s="6"/>
      <c r="AZ148" s="6"/>
      <c r="BA148" s="6"/>
      <c r="BB148" s="6"/>
      <c r="BC148" s="4"/>
      <c r="BD148" s="12"/>
    </row>
    <row r="149" customFormat="false" ht="23.8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2" t="n">
        <f aca="false">SUM(F149:I149)</f>
        <v>0</v>
      </c>
      <c r="K149" s="6"/>
      <c r="L149" s="6"/>
      <c r="M149" s="7"/>
      <c r="N149" s="7"/>
      <c r="O149" s="8"/>
      <c r="P149" s="8"/>
      <c r="Q149" s="8"/>
      <c r="R149" s="8"/>
      <c r="S149" s="8"/>
      <c r="T149" s="6"/>
      <c r="U149" s="6"/>
      <c r="V149" s="6"/>
      <c r="W149" s="6"/>
      <c r="X149" s="8"/>
      <c r="Y149" s="6"/>
      <c r="Z149" s="6"/>
      <c r="AA149" s="7"/>
      <c r="AB149" s="9" t="str">
        <f aca="false">IF(N149="","",MAX(0,N149-AA149))</f>
        <v/>
      </c>
      <c r="AC149" s="10" t="str">
        <f aca="false">IF(N149="","",IF(N149=0,0,AA149/N149))</f>
        <v/>
      </c>
      <c r="AD149" s="8"/>
      <c r="AE149" s="6"/>
      <c r="AF149" s="6"/>
      <c r="AG149" s="6"/>
      <c r="AH149" s="6"/>
      <c r="AI149" s="2" t="str">
        <f aca="false">IF(A149="","",IF(V149="Yes",IF(U149="Yes",1,2),""))</f>
        <v/>
      </c>
      <c r="AJ149" s="8"/>
      <c r="AK149" s="2" t="str">
        <f aca="false">IF(A149="","",IF(AJ149="","",COUNTIFS($E$2:$E$201,E149,$AI$2:$AI$201,AI149,$AJ$2:$AJ$201,"&lt;="&amp;AJ149)))</f>
        <v/>
      </c>
      <c r="AL149" s="2" t="str">
        <f aca="false">IF(A149="","",IF(AH149&lt;&gt;"Confirmado","No",IF(AG149="CO/SO₂ simultáneos",IF(OR(COUNTIFS($E$2:$E$201,E149,$AH$2:$AH$201,"Confirmado",$AG$2:$AG$201,"CO/SO₂ simultáneos")=3,SUMIFS($J$2:$J$201,$E$2:$E$201,E149,$AH$2:$AH$201,"Confirmado",$AG$2:$AG$201,"CO/SO₂ simultáneos")=6),"Sí","No"),IF(OR(AND(F149&gt;0,SUMIFS($F$2:$F$201,$E$2:$E$201,E149,$AH$2:$AH$201,"Confirmado")=4),AND(G149&gt;0,SUMIFS($G$2:$G$201,$E$2:$E$201,E149,$AH$2:$AH$201,"Confirmado")=4),AND(H149&gt;0,SUMIFS($H$2:$H$201,$E$2:$E$201,E149,$AH$2:$AH$201,"Confirmado")=4),AND(I149&gt;0,SUMIFS($I$2:$I$201,$E$2:$E$201,E149,$AH$2:$AH$201,"Confirmado")=4)),"Sí","No"))))</f>
        <v/>
      </c>
      <c r="AM149" s="2" t="str">
        <f aca="false">IF(A149="","",IF(AH149&lt;&gt;"Confirmado","",IF(AG149="CO/SO₂ simultáneos",IF(OR(COUNTIFS($E$2:$E$201,E149,$AH$2:$AH$201,"Confirmado",$AG$2:$AG$201,"CO/SO₂ simultáneos")&gt;3,SUMIFS($J$2:$J$201,$E$2:$E$201,E149,$AH$2:$AH$201,"Confirmado",$AG$2:$AG$201,"CO/SO₂ simultáneos")&gt;6),"CAPACIDAD EXCEDIDA","OK"),IF(OR(SUMIFS($F$2:$F$201,$E$2:$E$201,E149,$AH$2:$AH$201,"Confirmado")&gt;4,SUMIFS($G$2:$G$201,$E$2:$E$201,E149,$AH$2:$AH$201,"Confirmado")&gt;4,SUMIFS($H$2:$H$201,$E$2:$E$201,E149,$AH$2:$AH$201,"Confirmado")&gt;4,SUMIFS($I$2:$I$201,$E$2:$E$201,E149,$AH$2:$AH$201,"Confirmado")&gt;4),"CAPACIDAD EXCEDIDA","OK"))))</f>
        <v/>
      </c>
      <c r="AN149" s="2" t="str">
        <f aca="true">IF(A149="","",IF(AND(AC149&lt;1,Q149&lt;TODAY(),AH149="Aceptado pendiente de pago/orden"),"PLAZO VENCIDO",IF(AND(AC149&lt;1,AD149&lt;&gt;"",AD149&lt;TODAY()),"VENCIDO","OK")))</f>
        <v/>
      </c>
      <c r="AO149" s="6"/>
      <c r="AP149" s="8"/>
      <c r="AQ149" s="6"/>
      <c r="AR149" s="6" t="s">
        <v>73</v>
      </c>
      <c r="AS149" s="6"/>
      <c r="AT149" s="6"/>
      <c r="AU149" s="6"/>
      <c r="AV149" s="6"/>
      <c r="AW149" s="8" t="str">
        <f aca="false">IF(AV149="","",AV149+60)</f>
        <v/>
      </c>
      <c r="AX149" s="11" t="str">
        <f aca="true">IF(A149="","",IF(AND(AV149&lt;&gt;"",AW149&lt;TODAY(),OR(AH149="Interés",AH149="Cotizado")),"Sí","No"))</f>
        <v/>
      </c>
      <c r="AY149" s="6"/>
      <c r="AZ149" s="6"/>
      <c r="BA149" s="6"/>
      <c r="BB149" s="6"/>
      <c r="BC149" s="4"/>
      <c r="BD149" s="12"/>
    </row>
    <row r="150" customFormat="false" ht="23.8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2" t="n">
        <f aca="false">SUM(F150:I150)</f>
        <v>0</v>
      </c>
      <c r="K150" s="6"/>
      <c r="L150" s="6"/>
      <c r="M150" s="7"/>
      <c r="N150" s="7"/>
      <c r="O150" s="8"/>
      <c r="P150" s="8"/>
      <c r="Q150" s="8"/>
      <c r="R150" s="8"/>
      <c r="S150" s="8"/>
      <c r="T150" s="6"/>
      <c r="U150" s="6"/>
      <c r="V150" s="6"/>
      <c r="W150" s="6"/>
      <c r="X150" s="8"/>
      <c r="Y150" s="6"/>
      <c r="Z150" s="6"/>
      <c r="AA150" s="7"/>
      <c r="AB150" s="9" t="str">
        <f aca="false">IF(N150="","",MAX(0,N150-AA150))</f>
        <v/>
      </c>
      <c r="AC150" s="10" t="str">
        <f aca="false">IF(N150="","",IF(N150=0,0,AA150/N150))</f>
        <v/>
      </c>
      <c r="AD150" s="8"/>
      <c r="AE150" s="6"/>
      <c r="AF150" s="6"/>
      <c r="AG150" s="6"/>
      <c r="AH150" s="6"/>
      <c r="AI150" s="2" t="str">
        <f aca="false">IF(A150="","",IF(V150="Yes",IF(U150="Yes",1,2),""))</f>
        <v/>
      </c>
      <c r="AJ150" s="8"/>
      <c r="AK150" s="2" t="str">
        <f aca="false">IF(A150="","",IF(AJ150="","",COUNTIFS($E$2:$E$201,E150,$AI$2:$AI$201,AI150,$AJ$2:$AJ$201,"&lt;="&amp;AJ150)))</f>
        <v/>
      </c>
      <c r="AL150" s="2" t="str">
        <f aca="false">IF(A150="","",IF(AH150&lt;&gt;"Confirmado","No",IF(AG150="CO/SO₂ simultáneos",IF(OR(COUNTIFS($E$2:$E$201,E150,$AH$2:$AH$201,"Confirmado",$AG$2:$AG$201,"CO/SO₂ simultáneos")=3,SUMIFS($J$2:$J$201,$E$2:$E$201,E150,$AH$2:$AH$201,"Confirmado",$AG$2:$AG$201,"CO/SO₂ simultáneos")=6),"Sí","No"),IF(OR(AND(F150&gt;0,SUMIFS($F$2:$F$201,$E$2:$E$201,E150,$AH$2:$AH$201,"Confirmado")=4),AND(G150&gt;0,SUMIFS($G$2:$G$201,$E$2:$E$201,E150,$AH$2:$AH$201,"Confirmado")=4),AND(H150&gt;0,SUMIFS($H$2:$H$201,$E$2:$E$201,E150,$AH$2:$AH$201,"Confirmado")=4),AND(I150&gt;0,SUMIFS($I$2:$I$201,$E$2:$E$201,E150,$AH$2:$AH$201,"Confirmado")=4)),"Sí","No"))))</f>
        <v/>
      </c>
      <c r="AM150" s="2" t="str">
        <f aca="false">IF(A150="","",IF(AH150&lt;&gt;"Confirmado","",IF(AG150="CO/SO₂ simultáneos",IF(OR(COUNTIFS($E$2:$E$201,E150,$AH$2:$AH$201,"Confirmado",$AG$2:$AG$201,"CO/SO₂ simultáneos")&gt;3,SUMIFS($J$2:$J$201,$E$2:$E$201,E150,$AH$2:$AH$201,"Confirmado",$AG$2:$AG$201,"CO/SO₂ simultáneos")&gt;6),"CAPACIDAD EXCEDIDA","OK"),IF(OR(SUMIFS($F$2:$F$201,$E$2:$E$201,E150,$AH$2:$AH$201,"Confirmado")&gt;4,SUMIFS($G$2:$G$201,$E$2:$E$201,E150,$AH$2:$AH$201,"Confirmado")&gt;4,SUMIFS($H$2:$H$201,$E$2:$E$201,E150,$AH$2:$AH$201,"Confirmado")&gt;4,SUMIFS($I$2:$I$201,$E$2:$E$201,E150,$AH$2:$AH$201,"Confirmado")&gt;4),"CAPACIDAD EXCEDIDA","OK"))))</f>
        <v/>
      </c>
      <c r="AN150" s="2" t="str">
        <f aca="true">IF(A150="","",IF(AND(AC150&lt;1,Q150&lt;TODAY(),AH150="Aceptado pendiente de pago/orden"),"PLAZO VENCIDO",IF(AND(AC150&lt;1,AD150&lt;&gt;"",AD150&lt;TODAY()),"VENCIDO","OK")))</f>
        <v/>
      </c>
      <c r="AO150" s="6"/>
      <c r="AP150" s="8"/>
      <c r="AQ150" s="6"/>
      <c r="AR150" s="6" t="s">
        <v>73</v>
      </c>
      <c r="AS150" s="6"/>
      <c r="AT150" s="6"/>
      <c r="AU150" s="6"/>
      <c r="AV150" s="6"/>
      <c r="AW150" s="8" t="str">
        <f aca="false">IF(AV150="","",AV150+60)</f>
        <v/>
      </c>
      <c r="AX150" s="11" t="str">
        <f aca="true">IF(A150="","",IF(AND(AV150&lt;&gt;"",AW150&lt;TODAY(),OR(AH150="Interés",AH150="Cotizado")),"Sí","No"))</f>
        <v/>
      </c>
      <c r="AY150" s="6"/>
      <c r="AZ150" s="6"/>
      <c r="BA150" s="6"/>
      <c r="BB150" s="6"/>
      <c r="BC150" s="4"/>
      <c r="BD150" s="12"/>
    </row>
    <row r="151" customFormat="false" ht="23.8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2" t="n">
        <f aca="false">SUM(F151:I151)</f>
        <v>0</v>
      </c>
      <c r="K151" s="6"/>
      <c r="L151" s="6"/>
      <c r="M151" s="7"/>
      <c r="N151" s="7"/>
      <c r="O151" s="8"/>
      <c r="P151" s="8"/>
      <c r="Q151" s="8"/>
      <c r="R151" s="8"/>
      <c r="S151" s="8"/>
      <c r="T151" s="6"/>
      <c r="U151" s="6"/>
      <c r="V151" s="6"/>
      <c r="W151" s="6"/>
      <c r="X151" s="8"/>
      <c r="Y151" s="6"/>
      <c r="Z151" s="6"/>
      <c r="AA151" s="7"/>
      <c r="AB151" s="9" t="str">
        <f aca="false">IF(N151="","",MAX(0,N151-AA151))</f>
        <v/>
      </c>
      <c r="AC151" s="10" t="str">
        <f aca="false">IF(N151="","",IF(N151=0,0,AA151/N151))</f>
        <v/>
      </c>
      <c r="AD151" s="8"/>
      <c r="AE151" s="6"/>
      <c r="AF151" s="6"/>
      <c r="AG151" s="6"/>
      <c r="AH151" s="6"/>
      <c r="AI151" s="2" t="str">
        <f aca="false">IF(A151="","",IF(V151="Yes",IF(U151="Yes",1,2),""))</f>
        <v/>
      </c>
      <c r="AJ151" s="8"/>
      <c r="AK151" s="2" t="str">
        <f aca="false">IF(A151="","",IF(AJ151="","",COUNTIFS($E$2:$E$201,E151,$AI$2:$AI$201,AI151,$AJ$2:$AJ$201,"&lt;="&amp;AJ151)))</f>
        <v/>
      </c>
      <c r="AL151" s="2" t="str">
        <f aca="false">IF(A151="","",IF(AH151&lt;&gt;"Confirmado","No",IF(AG151="CO/SO₂ simultáneos",IF(OR(COUNTIFS($E$2:$E$201,E151,$AH$2:$AH$201,"Confirmado",$AG$2:$AG$201,"CO/SO₂ simultáneos")=3,SUMIFS($J$2:$J$201,$E$2:$E$201,E151,$AH$2:$AH$201,"Confirmado",$AG$2:$AG$201,"CO/SO₂ simultáneos")=6),"Sí","No"),IF(OR(AND(F151&gt;0,SUMIFS($F$2:$F$201,$E$2:$E$201,E151,$AH$2:$AH$201,"Confirmado")=4),AND(G151&gt;0,SUMIFS($G$2:$G$201,$E$2:$E$201,E151,$AH$2:$AH$201,"Confirmado")=4),AND(H151&gt;0,SUMIFS($H$2:$H$201,$E$2:$E$201,E151,$AH$2:$AH$201,"Confirmado")=4),AND(I151&gt;0,SUMIFS($I$2:$I$201,$E$2:$E$201,E151,$AH$2:$AH$201,"Confirmado")=4)),"Sí","No"))))</f>
        <v/>
      </c>
      <c r="AM151" s="2" t="str">
        <f aca="false">IF(A151="","",IF(AH151&lt;&gt;"Confirmado","",IF(AG151="CO/SO₂ simultáneos",IF(OR(COUNTIFS($E$2:$E$201,E151,$AH$2:$AH$201,"Confirmado",$AG$2:$AG$201,"CO/SO₂ simultáneos")&gt;3,SUMIFS($J$2:$J$201,$E$2:$E$201,E151,$AH$2:$AH$201,"Confirmado",$AG$2:$AG$201,"CO/SO₂ simultáneos")&gt;6),"CAPACIDAD EXCEDIDA","OK"),IF(OR(SUMIFS($F$2:$F$201,$E$2:$E$201,E151,$AH$2:$AH$201,"Confirmado")&gt;4,SUMIFS($G$2:$G$201,$E$2:$E$201,E151,$AH$2:$AH$201,"Confirmado")&gt;4,SUMIFS($H$2:$H$201,$E$2:$E$201,E151,$AH$2:$AH$201,"Confirmado")&gt;4,SUMIFS($I$2:$I$201,$E$2:$E$201,E151,$AH$2:$AH$201,"Confirmado")&gt;4),"CAPACIDAD EXCEDIDA","OK"))))</f>
        <v/>
      </c>
      <c r="AN151" s="2" t="str">
        <f aca="true">IF(A151="","",IF(AND(AC151&lt;1,Q151&lt;TODAY(),AH151="Aceptado pendiente de pago/orden"),"PLAZO VENCIDO",IF(AND(AC151&lt;1,AD151&lt;&gt;"",AD151&lt;TODAY()),"VENCIDO","OK")))</f>
        <v/>
      </c>
      <c r="AO151" s="6"/>
      <c r="AP151" s="8"/>
      <c r="AQ151" s="6"/>
      <c r="AR151" s="6" t="s">
        <v>73</v>
      </c>
      <c r="AS151" s="6"/>
      <c r="AT151" s="6"/>
      <c r="AU151" s="6"/>
      <c r="AV151" s="6"/>
      <c r="AW151" s="8" t="str">
        <f aca="false">IF(AV151="","",AV151+60)</f>
        <v/>
      </c>
      <c r="AX151" s="11" t="str">
        <f aca="true">IF(A151="","",IF(AND(AV151&lt;&gt;"",AW151&lt;TODAY(),OR(AH151="Interés",AH151="Cotizado")),"Sí","No"))</f>
        <v/>
      </c>
      <c r="AY151" s="6"/>
      <c r="AZ151" s="6"/>
      <c r="BA151" s="6"/>
      <c r="BB151" s="6"/>
      <c r="BC151" s="4"/>
      <c r="BD151" s="12"/>
    </row>
    <row r="152" customFormat="false" ht="23.8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2" t="n">
        <f aca="false">SUM(F152:I152)</f>
        <v>0</v>
      </c>
      <c r="K152" s="6"/>
      <c r="L152" s="6"/>
      <c r="M152" s="7"/>
      <c r="N152" s="7"/>
      <c r="O152" s="8"/>
      <c r="P152" s="8"/>
      <c r="Q152" s="8"/>
      <c r="R152" s="8"/>
      <c r="S152" s="8"/>
      <c r="T152" s="6"/>
      <c r="U152" s="6"/>
      <c r="V152" s="6"/>
      <c r="W152" s="6"/>
      <c r="X152" s="8"/>
      <c r="Y152" s="6"/>
      <c r="Z152" s="6"/>
      <c r="AA152" s="7"/>
      <c r="AB152" s="9" t="str">
        <f aca="false">IF(N152="","",MAX(0,N152-AA152))</f>
        <v/>
      </c>
      <c r="AC152" s="10" t="str">
        <f aca="false">IF(N152="","",IF(N152=0,0,AA152/N152))</f>
        <v/>
      </c>
      <c r="AD152" s="8"/>
      <c r="AE152" s="6"/>
      <c r="AF152" s="6"/>
      <c r="AG152" s="6"/>
      <c r="AH152" s="6"/>
      <c r="AI152" s="2" t="str">
        <f aca="false">IF(A152="","",IF(V152="Yes",IF(U152="Yes",1,2),""))</f>
        <v/>
      </c>
      <c r="AJ152" s="8"/>
      <c r="AK152" s="2" t="str">
        <f aca="false">IF(A152="","",IF(AJ152="","",COUNTIFS($E$2:$E$201,E152,$AI$2:$AI$201,AI152,$AJ$2:$AJ$201,"&lt;="&amp;AJ152)))</f>
        <v/>
      </c>
      <c r="AL152" s="2" t="str">
        <f aca="false">IF(A152="","",IF(AH152&lt;&gt;"Confirmado","No",IF(AG152="CO/SO₂ simultáneos",IF(OR(COUNTIFS($E$2:$E$201,E152,$AH$2:$AH$201,"Confirmado",$AG$2:$AG$201,"CO/SO₂ simultáneos")=3,SUMIFS($J$2:$J$201,$E$2:$E$201,E152,$AH$2:$AH$201,"Confirmado",$AG$2:$AG$201,"CO/SO₂ simultáneos")=6),"Sí","No"),IF(OR(AND(F152&gt;0,SUMIFS($F$2:$F$201,$E$2:$E$201,E152,$AH$2:$AH$201,"Confirmado")=4),AND(G152&gt;0,SUMIFS($G$2:$G$201,$E$2:$E$201,E152,$AH$2:$AH$201,"Confirmado")=4),AND(H152&gt;0,SUMIFS($H$2:$H$201,$E$2:$E$201,E152,$AH$2:$AH$201,"Confirmado")=4),AND(I152&gt;0,SUMIFS($I$2:$I$201,$E$2:$E$201,E152,$AH$2:$AH$201,"Confirmado")=4)),"Sí","No"))))</f>
        <v/>
      </c>
      <c r="AM152" s="2" t="str">
        <f aca="false">IF(A152="","",IF(AH152&lt;&gt;"Confirmado","",IF(AG152="CO/SO₂ simultáneos",IF(OR(COUNTIFS($E$2:$E$201,E152,$AH$2:$AH$201,"Confirmado",$AG$2:$AG$201,"CO/SO₂ simultáneos")&gt;3,SUMIFS($J$2:$J$201,$E$2:$E$201,E152,$AH$2:$AH$201,"Confirmado",$AG$2:$AG$201,"CO/SO₂ simultáneos")&gt;6),"CAPACIDAD EXCEDIDA","OK"),IF(OR(SUMIFS($F$2:$F$201,$E$2:$E$201,E152,$AH$2:$AH$201,"Confirmado")&gt;4,SUMIFS($G$2:$G$201,$E$2:$E$201,E152,$AH$2:$AH$201,"Confirmado")&gt;4,SUMIFS($H$2:$H$201,$E$2:$E$201,E152,$AH$2:$AH$201,"Confirmado")&gt;4,SUMIFS($I$2:$I$201,$E$2:$E$201,E152,$AH$2:$AH$201,"Confirmado")&gt;4),"CAPACIDAD EXCEDIDA","OK"))))</f>
        <v/>
      </c>
      <c r="AN152" s="2" t="str">
        <f aca="true">IF(A152="","",IF(AND(AC152&lt;1,Q152&lt;TODAY(),AH152="Aceptado pendiente de pago/orden"),"PLAZO VENCIDO",IF(AND(AC152&lt;1,AD152&lt;&gt;"",AD152&lt;TODAY()),"VENCIDO","OK")))</f>
        <v/>
      </c>
      <c r="AO152" s="6"/>
      <c r="AP152" s="8"/>
      <c r="AQ152" s="6"/>
      <c r="AR152" s="6" t="s">
        <v>73</v>
      </c>
      <c r="AS152" s="6"/>
      <c r="AT152" s="6"/>
      <c r="AU152" s="6"/>
      <c r="AV152" s="6"/>
      <c r="AW152" s="8" t="str">
        <f aca="false">IF(AV152="","",AV152+60)</f>
        <v/>
      </c>
      <c r="AX152" s="11" t="str">
        <f aca="true">IF(A152="","",IF(AND(AV152&lt;&gt;"",AW152&lt;TODAY(),OR(AH152="Interés",AH152="Cotizado")),"Sí","No"))</f>
        <v/>
      </c>
      <c r="AY152" s="6"/>
      <c r="AZ152" s="6"/>
      <c r="BA152" s="6"/>
      <c r="BB152" s="6"/>
      <c r="BC152" s="4"/>
      <c r="BD152" s="12"/>
    </row>
    <row r="153" customFormat="false" ht="23.8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2" t="n">
        <f aca="false">SUM(F153:I153)</f>
        <v>0</v>
      </c>
      <c r="K153" s="6"/>
      <c r="L153" s="6"/>
      <c r="M153" s="7"/>
      <c r="N153" s="7"/>
      <c r="O153" s="8"/>
      <c r="P153" s="8"/>
      <c r="Q153" s="8"/>
      <c r="R153" s="8"/>
      <c r="S153" s="8"/>
      <c r="T153" s="6"/>
      <c r="U153" s="6"/>
      <c r="V153" s="6"/>
      <c r="W153" s="6"/>
      <c r="X153" s="8"/>
      <c r="Y153" s="6"/>
      <c r="Z153" s="6"/>
      <c r="AA153" s="7"/>
      <c r="AB153" s="9" t="str">
        <f aca="false">IF(N153="","",MAX(0,N153-AA153))</f>
        <v/>
      </c>
      <c r="AC153" s="10" t="str">
        <f aca="false">IF(N153="","",IF(N153=0,0,AA153/N153))</f>
        <v/>
      </c>
      <c r="AD153" s="8"/>
      <c r="AE153" s="6"/>
      <c r="AF153" s="6"/>
      <c r="AG153" s="6"/>
      <c r="AH153" s="6"/>
      <c r="AI153" s="2" t="str">
        <f aca="false">IF(A153="","",IF(V153="Yes",IF(U153="Yes",1,2),""))</f>
        <v/>
      </c>
      <c r="AJ153" s="8"/>
      <c r="AK153" s="2" t="str">
        <f aca="false">IF(A153="","",IF(AJ153="","",COUNTIFS($E$2:$E$201,E153,$AI$2:$AI$201,AI153,$AJ$2:$AJ$201,"&lt;="&amp;AJ153)))</f>
        <v/>
      </c>
      <c r="AL153" s="2" t="str">
        <f aca="false">IF(A153="","",IF(AH153&lt;&gt;"Confirmado","No",IF(AG153="CO/SO₂ simultáneos",IF(OR(COUNTIFS($E$2:$E$201,E153,$AH$2:$AH$201,"Confirmado",$AG$2:$AG$201,"CO/SO₂ simultáneos")=3,SUMIFS($J$2:$J$201,$E$2:$E$201,E153,$AH$2:$AH$201,"Confirmado",$AG$2:$AG$201,"CO/SO₂ simultáneos")=6),"Sí","No"),IF(OR(AND(F153&gt;0,SUMIFS($F$2:$F$201,$E$2:$E$201,E153,$AH$2:$AH$201,"Confirmado")=4),AND(G153&gt;0,SUMIFS($G$2:$G$201,$E$2:$E$201,E153,$AH$2:$AH$201,"Confirmado")=4),AND(H153&gt;0,SUMIFS($H$2:$H$201,$E$2:$E$201,E153,$AH$2:$AH$201,"Confirmado")=4),AND(I153&gt;0,SUMIFS($I$2:$I$201,$E$2:$E$201,E153,$AH$2:$AH$201,"Confirmado")=4)),"Sí","No"))))</f>
        <v/>
      </c>
      <c r="AM153" s="2" t="str">
        <f aca="false">IF(A153="","",IF(AH153&lt;&gt;"Confirmado","",IF(AG153="CO/SO₂ simultáneos",IF(OR(COUNTIFS($E$2:$E$201,E153,$AH$2:$AH$201,"Confirmado",$AG$2:$AG$201,"CO/SO₂ simultáneos")&gt;3,SUMIFS($J$2:$J$201,$E$2:$E$201,E153,$AH$2:$AH$201,"Confirmado",$AG$2:$AG$201,"CO/SO₂ simultáneos")&gt;6),"CAPACIDAD EXCEDIDA","OK"),IF(OR(SUMIFS($F$2:$F$201,$E$2:$E$201,E153,$AH$2:$AH$201,"Confirmado")&gt;4,SUMIFS($G$2:$G$201,$E$2:$E$201,E153,$AH$2:$AH$201,"Confirmado")&gt;4,SUMIFS($H$2:$H$201,$E$2:$E$201,E153,$AH$2:$AH$201,"Confirmado")&gt;4,SUMIFS($I$2:$I$201,$E$2:$E$201,E153,$AH$2:$AH$201,"Confirmado")&gt;4),"CAPACIDAD EXCEDIDA","OK"))))</f>
        <v/>
      </c>
      <c r="AN153" s="2" t="str">
        <f aca="true">IF(A153="","",IF(AND(AC153&lt;1,Q153&lt;TODAY(),AH153="Aceptado pendiente de pago/orden"),"PLAZO VENCIDO",IF(AND(AC153&lt;1,AD153&lt;&gt;"",AD153&lt;TODAY()),"VENCIDO","OK")))</f>
        <v/>
      </c>
      <c r="AO153" s="6"/>
      <c r="AP153" s="8"/>
      <c r="AQ153" s="6"/>
      <c r="AR153" s="6" t="s">
        <v>73</v>
      </c>
      <c r="AS153" s="6"/>
      <c r="AT153" s="6"/>
      <c r="AU153" s="6"/>
      <c r="AV153" s="6"/>
      <c r="AW153" s="8" t="str">
        <f aca="false">IF(AV153="","",AV153+60)</f>
        <v/>
      </c>
      <c r="AX153" s="11" t="str">
        <f aca="true">IF(A153="","",IF(AND(AV153&lt;&gt;"",AW153&lt;TODAY(),OR(AH153="Interés",AH153="Cotizado")),"Sí","No"))</f>
        <v/>
      </c>
      <c r="AY153" s="6"/>
      <c r="AZ153" s="6"/>
      <c r="BA153" s="6"/>
      <c r="BB153" s="6"/>
      <c r="BC153" s="4"/>
      <c r="BD153" s="12"/>
    </row>
    <row r="154" customFormat="false" ht="23.8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2" t="n">
        <f aca="false">SUM(F154:I154)</f>
        <v>0</v>
      </c>
      <c r="K154" s="6"/>
      <c r="L154" s="6"/>
      <c r="M154" s="7"/>
      <c r="N154" s="7"/>
      <c r="O154" s="8"/>
      <c r="P154" s="8"/>
      <c r="Q154" s="8"/>
      <c r="R154" s="8"/>
      <c r="S154" s="8"/>
      <c r="T154" s="6"/>
      <c r="U154" s="6"/>
      <c r="V154" s="6"/>
      <c r="W154" s="6"/>
      <c r="X154" s="8"/>
      <c r="Y154" s="6"/>
      <c r="Z154" s="6"/>
      <c r="AA154" s="7"/>
      <c r="AB154" s="9" t="str">
        <f aca="false">IF(N154="","",MAX(0,N154-AA154))</f>
        <v/>
      </c>
      <c r="AC154" s="10" t="str">
        <f aca="false">IF(N154="","",IF(N154=0,0,AA154/N154))</f>
        <v/>
      </c>
      <c r="AD154" s="8"/>
      <c r="AE154" s="6"/>
      <c r="AF154" s="6"/>
      <c r="AG154" s="6"/>
      <c r="AH154" s="6"/>
      <c r="AI154" s="2" t="str">
        <f aca="false">IF(A154="","",IF(V154="Yes",IF(U154="Yes",1,2),""))</f>
        <v/>
      </c>
      <c r="AJ154" s="8"/>
      <c r="AK154" s="2" t="str">
        <f aca="false">IF(A154="","",IF(AJ154="","",COUNTIFS($E$2:$E$201,E154,$AI$2:$AI$201,AI154,$AJ$2:$AJ$201,"&lt;="&amp;AJ154)))</f>
        <v/>
      </c>
      <c r="AL154" s="2" t="str">
        <f aca="false">IF(A154="","",IF(AH154&lt;&gt;"Confirmado","No",IF(AG154="CO/SO₂ simultáneos",IF(OR(COUNTIFS($E$2:$E$201,E154,$AH$2:$AH$201,"Confirmado",$AG$2:$AG$201,"CO/SO₂ simultáneos")=3,SUMIFS($J$2:$J$201,$E$2:$E$201,E154,$AH$2:$AH$201,"Confirmado",$AG$2:$AG$201,"CO/SO₂ simultáneos")=6),"Sí","No"),IF(OR(AND(F154&gt;0,SUMIFS($F$2:$F$201,$E$2:$E$201,E154,$AH$2:$AH$201,"Confirmado")=4),AND(G154&gt;0,SUMIFS($G$2:$G$201,$E$2:$E$201,E154,$AH$2:$AH$201,"Confirmado")=4),AND(H154&gt;0,SUMIFS($H$2:$H$201,$E$2:$E$201,E154,$AH$2:$AH$201,"Confirmado")=4),AND(I154&gt;0,SUMIFS($I$2:$I$201,$E$2:$E$201,E154,$AH$2:$AH$201,"Confirmado")=4)),"Sí","No"))))</f>
        <v/>
      </c>
      <c r="AM154" s="2" t="str">
        <f aca="false">IF(A154="","",IF(AH154&lt;&gt;"Confirmado","",IF(AG154="CO/SO₂ simultáneos",IF(OR(COUNTIFS($E$2:$E$201,E154,$AH$2:$AH$201,"Confirmado",$AG$2:$AG$201,"CO/SO₂ simultáneos")&gt;3,SUMIFS($J$2:$J$201,$E$2:$E$201,E154,$AH$2:$AH$201,"Confirmado",$AG$2:$AG$201,"CO/SO₂ simultáneos")&gt;6),"CAPACIDAD EXCEDIDA","OK"),IF(OR(SUMIFS($F$2:$F$201,$E$2:$E$201,E154,$AH$2:$AH$201,"Confirmado")&gt;4,SUMIFS($G$2:$G$201,$E$2:$E$201,E154,$AH$2:$AH$201,"Confirmado")&gt;4,SUMIFS($H$2:$H$201,$E$2:$E$201,E154,$AH$2:$AH$201,"Confirmado")&gt;4,SUMIFS($I$2:$I$201,$E$2:$E$201,E154,$AH$2:$AH$201,"Confirmado")&gt;4),"CAPACIDAD EXCEDIDA","OK"))))</f>
        <v/>
      </c>
      <c r="AN154" s="2" t="str">
        <f aca="true">IF(A154="","",IF(AND(AC154&lt;1,Q154&lt;TODAY(),AH154="Aceptado pendiente de pago/orden"),"PLAZO VENCIDO",IF(AND(AC154&lt;1,AD154&lt;&gt;"",AD154&lt;TODAY()),"VENCIDO","OK")))</f>
        <v/>
      </c>
      <c r="AO154" s="6"/>
      <c r="AP154" s="8"/>
      <c r="AQ154" s="6"/>
      <c r="AR154" s="6" t="s">
        <v>73</v>
      </c>
      <c r="AS154" s="6"/>
      <c r="AT154" s="6"/>
      <c r="AU154" s="6"/>
      <c r="AV154" s="6"/>
      <c r="AW154" s="8" t="str">
        <f aca="false">IF(AV154="","",AV154+60)</f>
        <v/>
      </c>
      <c r="AX154" s="11" t="str">
        <f aca="true">IF(A154="","",IF(AND(AV154&lt;&gt;"",AW154&lt;TODAY(),OR(AH154="Interés",AH154="Cotizado")),"Sí","No"))</f>
        <v/>
      </c>
      <c r="AY154" s="6"/>
      <c r="AZ154" s="6"/>
      <c r="BA154" s="6"/>
      <c r="BB154" s="6"/>
      <c r="BC154" s="4"/>
      <c r="BD154" s="12"/>
    </row>
    <row r="155" customFormat="false" ht="23.8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2" t="n">
        <f aca="false">SUM(F155:I155)</f>
        <v>0</v>
      </c>
      <c r="K155" s="6"/>
      <c r="L155" s="6"/>
      <c r="M155" s="7"/>
      <c r="N155" s="7"/>
      <c r="O155" s="8"/>
      <c r="P155" s="8"/>
      <c r="Q155" s="8"/>
      <c r="R155" s="8"/>
      <c r="S155" s="8"/>
      <c r="T155" s="6"/>
      <c r="U155" s="6"/>
      <c r="V155" s="6"/>
      <c r="W155" s="6"/>
      <c r="X155" s="8"/>
      <c r="Y155" s="6"/>
      <c r="Z155" s="6"/>
      <c r="AA155" s="7"/>
      <c r="AB155" s="9" t="str">
        <f aca="false">IF(N155="","",MAX(0,N155-AA155))</f>
        <v/>
      </c>
      <c r="AC155" s="10" t="str">
        <f aca="false">IF(N155="","",IF(N155=0,0,AA155/N155))</f>
        <v/>
      </c>
      <c r="AD155" s="8"/>
      <c r="AE155" s="6"/>
      <c r="AF155" s="6"/>
      <c r="AG155" s="6"/>
      <c r="AH155" s="6"/>
      <c r="AI155" s="2" t="str">
        <f aca="false">IF(A155="","",IF(V155="Yes",IF(U155="Yes",1,2),""))</f>
        <v/>
      </c>
      <c r="AJ155" s="8"/>
      <c r="AK155" s="2" t="str">
        <f aca="false">IF(A155="","",IF(AJ155="","",COUNTIFS($E$2:$E$201,E155,$AI$2:$AI$201,AI155,$AJ$2:$AJ$201,"&lt;="&amp;AJ155)))</f>
        <v/>
      </c>
      <c r="AL155" s="2" t="str">
        <f aca="false">IF(A155="","",IF(AH155&lt;&gt;"Confirmado","No",IF(AG155="CO/SO₂ simultáneos",IF(OR(COUNTIFS($E$2:$E$201,E155,$AH$2:$AH$201,"Confirmado",$AG$2:$AG$201,"CO/SO₂ simultáneos")=3,SUMIFS($J$2:$J$201,$E$2:$E$201,E155,$AH$2:$AH$201,"Confirmado",$AG$2:$AG$201,"CO/SO₂ simultáneos")=6),"Sí","No"),IF(OR(AND(F155&gt;0,SUMIFS($F$2:$F$201,$E$2:$E$201,E155,$AH$2:$AH$201,"Confirmado")=4),AND(G155&gt;0,SUMIFS($G$2:$G$201,$E$2:$E$201,E155,$AH$2:$AH$201,"Confirmado")=4),AND(H155&gt;0,SUMIFS($H$2:$H$201,$E$2:$E$201,E155,$AH$2:$AH$201,"Confirmado")=4),AND(I155&gt;0,SUMIFS($I$2:$I$201,$E$2:$E$201,E155,$AH$2:$AH$201,"Confirmado")=4)),"Sí","No"))))</f>
        <v/>
      </c>
      <c r="AM155" s="2" t="str">
        <f aca="false">IF(A155="","",IF(AH155&lt;&gt;"Confirmado","",IF(AG155="CO/SO₂ simultáneos",IF(OR(COUNTIFS($E$2:$E$201,E155,$AH$2:$AH$201,"Confirmado",$AG$2:$AG$201,"CO/SO₂ simultáneos")&gt;3,SUMIFS($J$2:$J$201,$E$2:$E$201,E155,$AH$2:$AH$201,"Confirmado",$AG$2:$AG$201,"CO/SO₂ simultáneos")&gt;6),"CAPACIDAD EXCEDIDA","OK"),IF(OR(SUMIFS($F$2:$F$201,$E$2:$E$201,E155,$AH$2:$AH$201,"Confirmado")&gt;4,SUMIFS($G$2:$G$201,$E$2:$E$201,E155,$AH$2:$AH$201,"Confirmado")&gt;4,SUMIFS($H$2:$H$201,$E$2:$E$201,E155,$AH$2:$AH$201,"Confirmado")&gt;4,SUMIFS($I$2:$I$201,$E$2:$E$201,E155,$AH$2:$AH$201,"Confirmado")&gt;4),"CAPACIDAD EXCEDIDA","OK"))))</f>
        <v/>
      </c>
      <c r="AN155" s="2" t="str">
        <f aca="true">IF(A155="","",IF(AND(AC155&lt;1,Q155&lt;TODAY(),AH155="Aceptado pendiente de pago/orden"),"PLAZO VENCIDO",IF(AND(AC155&lt;1,AD155&lt;&gt;"",AD155&lt;TODAY()),"VENCIDO","OK")))</f>
        <v/>
      </c>
      <c r="AO155" s="6"/>
      <c r="AP155" s="8"/>
      <c r="AQ155" s="6"/>
      <c r="AR155" s="6" t="s">
        <v>73</v>
      </c>
      <c r="AS155" s="6"/>
      <c r="AT155" s="6"/>
      <c r="AU155" s="6"/>
      <c r="AV155" s="6"/>
      <c r="AW155" s="8" t="str">
        <f aca="false">IF(AV155="","",AV155+60)</f>
        <v/>
      </c>
      <c r="AX155" s="11" t="str">
        <f aca="true">IF(A155="","",IF(AND(AV155&lt;&gt;"",AW155&lt;TODAY(),OR(AH155="Interés",AH155="Cotizado")),"Sí","No"))</f>
        <v/>
      </c>
      <c r="AY155" s="6"/>
      <c r="AZ155" s="6"/>
      <c r="BA155" s="6"/>
      <c r="BB155" s="6"/>
      <c r="BC155" s="4"/>
      <c r="BD155" s="12"/>
    </row>
    <row r="156" customFormat="false" ht="23.8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2" t="n">
        <f aca="false">SUM(F156:I156)</f>
        <v>0</v>
      </c>
      <c r="K156" s="6"/>
      <c r="L156" s="6"/>
      <c r="M156" s="7"/>
      <c r="N156" s="7"/>
      <c r="O156" s="8"/>
      <c r="P156" s="8"/>
      <c r="Q156" s="8"/>
      <c r="R156" s="8"/>
      <c r="S156" s="8"/>
      <c r="T156" s="6"/>
      <c r="U156" s="6"/>
      <c r="V156" s="6"/>
      <c r="W156" s="6"/>
      <c r="X156" s="8"/>
      <c r="Y156" s="6"/>
      <c r="Z156" s="6"/>
      <c r="AA156" s="7"/>
      <c r="AB156" s="9" t="str">
        <f aca="false">IF(N156="","",MAX(0,N156-AA156))</f>
        <v/>
      </c>
      <c r="AC156" s="10" t="str">
        <f aca="false">IF(N156="","",IF(N156=0,0,AA156/N156))</f>
        <v/>
      </c>
      <c r="AD156" s="8"/>
      <c r="AE156" s="6"/>
      <c r="AF156" s="6"/>
      <c r="AG156" s="6"/>
      <c r="AH156" s="6"/>
      <c r="AI156" s="2" t="str">
        <f aca="false">IF(A156="","",IF(V156="Yes",IF(U156="Yes",1,2),""))</f>
        <v/>
      </c>
      <c r="AJ156" s="8"/>
      <c r="AK156" s="2" t="str">
        <f aca="false">IF(A156="","",IF(AJ156="","",COUNTIFS($E$2:$E$201,E156,$AI$2:$AI$201,AI156,$AJ$2:$AJ$201,"&lt;="&amp;AJ156)))</f>
        <v/>
      </c>
      <c r="AL156" s="2" t="str">
        <f aca="false">IF(A156="","",IF(AH156&lt;&gt;"Confirmado","No",IF(AG156="CO/SO₂ simultáneos",IF(OR(COUNTIFS($E$2:$E$201,E156,$AH$2:$AH$201,"Confirmado",$AG$2:$AG$201,"CO/SO₂ simultáneos")=3,SUMIFS($J$2:$J$201,$E$2:$E$201,E156,$AH$2:$AH$201,"Confirmado",$AG$2:$AG$201,"CO/SO₂ simultáneos")=6),"Sí","No"),IF(OR(AND(F156&gt;0,SUMIFS($F$2:$F$201,$E$2:$E$201,E156,$AH$2:$AH$201,"Confirmado")=4),AND(G156&gt;0,SUMIFS($G$2:$G$201,$E$2:$E$201,E156,$AH$2:$AH$201,"Confirmado")=4),AND(H156&gt;0,SUMIFS($H$2:$H$201,$E$2:$E$201,E156,$AH$2:$AH$201,"Confirmado")=4),AND(I156&gt;0,SUMIFS($I$2:$I$201,$E$2:$E$201,E156,$AH$2:$AH$201,"Confirmado")=4)),"Sí","No"))))</f>
        <v/>
      </c>
      <c r="AM156" s="2" t="str">
        <f aca="false">IF(A156="","",IF(AH156&lt;&gt;"Confirmado","",IF(AG156="CO/SO₂ simultáneos",IF(OR(COUNTIFS($E$2:$E$201,E156,$AH$2:$AH$201,"Confirmado",$AG$2:$AG$201,"CO/SO₂ simultáneos")&gt;3,SUMIFS($J$2:$J$201,$E$2:$E$201,E156,$AH$2:$AH$201,"Confirmado",$AG$2:$AG$201,"CO/SO₂ simultáneos")&gt;6),"CAPACIDAD EXCEDIDA","OK"),IF(OR(SUMIFS($F$2:$F$201,$E$2:$E$201,E156,$AH$2:$AH$201,"Confirmado")&gt;4,SUMIFS($G$2:$G$201,$E$2:$E$201,E156,$AH$2:$AH$201,"Confirmado")&gt;4,SUMIFS($H$2:$H$201,$E$2:$E$201,E156,$AH$2:$AH$201,"Confirmado")&gt;4,SUMIFS($I$2:$I$201,$E$2:$E$201,E156,$AH$2:$AH$201,"Confirmado")&gt;4),"CAPACIDAD EXCEDIDA","OK"))))</f>
        <v/>
      </c>
      <c r="AN156" s="2" t="str">
        <f aca="true">IF(A156="","",IF(AND(AC156&lt;1,Q156&lt;TODAY(),AH156="Aceptado pendiente de pago/orden"),"PLAZO VENCIDO",IF(AND(AC156&lt;1,AD156&lt;&gt;"",AD156&lt;TODAY()),"VENCIDO","OK")))</f>
        <v/>
      </c>
      <c r="AO156" s="6"/>
      <c r="AP156" s="8"/>
      <c r="AQ156" s="6"/>
      <c r="AR156" s="6" t="s">
        <v>73</v>
      </c>
      <c r="AS156" s="6"/>
      <c r="AT156" s="6"/>
      <c r="AU156" s="6"/>
      <c r="AV156" s="6"/>
      <c r="AW156" s="8" t="str">
        <f aca="false">IF(AV156="","",AV156+60)</f>
        <v/>
      </c>
      <c r="AX156" s="11" t="str">
        <f aca="true">IF(A156="","",IF(AND(AV156&lt;&gt;"",AW156&lt;TODAY(),OR(AH156="Interés",AH156="Cotizado")),"Sí","No"))</f>
        <v/>
      </c>
      <c r="AY156" s="6"/>
      <c r="AZ156" s="6"/>
      <c r="BA156" s="6"/>
      <c r="BB156" s="6"/>
      <c r="BC156" s="4"/>
      <c r="BD156" s="12"/>
    </row>
    <row r="157" customFormat="false" ht="23.8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2" t="n">
        <f aca="false">SUM(F157:I157)</f>
        <v>0</v>
      </c>
      <c r="K157" s="6"/>
      <c r="L157" s="6"/>
      <c r="M157" s="7"/>
      <c r="N157" s="7"/>
      <c r="O157" s="8"/>
      <c r="P157" s="8"/>
      <c r="Q157" s="8"/>
      <c r="R157" s="8"/>
      <c r="S157" s="8"/>
      <c r="T157" s="6"/>
      <c r="U157" s="6"/>
      <c r="V157" s="6"/>
      <c r="W157" s="6"/>
      <c r="X157" s="8"/>
      <c r="Y157" s="6"/>
      <c r="Z157" s="6"/>
      <c r="AA157" s="7"/>
      <c r="AB157" s="9" t="str">
        <f aca="false">IF(N157="","",MAX(0,N157-AA157))</f>
        <v/>
      </c>
      <c r="AC157" s="10" t="str">
        <f aca="false">IF(N157="","",IF(N157=0,0,AA157/N157))</f>
        <v/>
      </c>
      <c r="AD157" s="8"/>
      <c r="AE157" s="6"/>
      <c r="AF157" s="6"/>
      <c r="AG157" s="6"/>
      <c r="AH157" s="6"/>
      <c r="AI157" s="2" t="str">
        <f aca="false">IF(A157="","",IF(V157="Yes",IF(U157="Yes",1,2),""))</f>
        <v/>
      </c>
      <c r="AJ157" s="8"/>
      <c r="AK157" s="2" t="str">
        <f aca="false">IF(A157="","",IF(AJ157="","",COUNTIFS($E$2:$E$201,E157,$AI$2:$AI$201,AI157,$AJ$2:$AJ$201,"&lt;="&amp;AJ157)))</f>
        <v/>
      </c>
      <c r="AL157" s="2" t="str">
        <f aca="false">IF(A157="","",IF(AH157&lt;&gt;"Confirmado","No",IF(AG157="CO/SO₂ simultáneos",IF(OR(COUNTIFS($E$2:$E$201,E157,$AH$2:$AH$201,"Confirmado",$AG$2:$AG$201,"CO/SO₂ simultáneos")=3,SUMIFS($J$2:$J$201,$E$2:$E$201,E157,$AH$2:$AH$201,"Confirmado",$AG$2:$AG$201,"CO/SO₂ simultáneos")=6),"Sí","No"),IF(OR(AND(F157&gt;0,SUMIFS($F$2:$F$201,$E$2:$E$201,E157,$AH$2:$AH$201,"Confirmado")=4),AND(G157&gt;0,SUMIFS($G$2:$G$201,$E$2:$E$201,E157,$AH$2:$AH$201,"Confirmado")=4),AND(H157&gt;0,SUMIFS($H$2:$H$201,$E$2:$E$201,E157,$AH$2:$AH$201,"Confirmado")=4),AND(I157&gt;0,SUMIFS($I$2:$I$201,$E$2:$E$201,E157,$AH$2:$AH$201,"Confirmado")=4)),"Sí","No"))))</f>
        <v/>
      </c>
      <c r="AM157" s="2" t="str">
        <f aca="false">IF(A157="","",IF(AH157&lt;&gt;"Confirmado","",IF(AG157="CO/SO₂ simultáneos",IF(OR(COUNTIFS($E$2:$E$201,E157,$AH$2:$AH$201,"Confirmado",$AG$2:$AG$201,"CO/SO₂ simultáneos")&gt;3,SUMIFS($J$2:$J$201,$E$2:$E$201,E157,$AH$2:$AH$201,"Confirmado",$AG$2:$AG$201,"CO/SO₂ simultáneos")&gt;6),"CAPACIDAD EXCEDIDA","OK"),IF(OR(SUMIFS($F$2:$F$201,$E$2:$E$201,E157,$AH$2:$AH$201,"Confirmado")&gt;4,SUMIFS($G$2:$G$201,$E$2:$E$201,E157,$AH$2:$AH$201,"Confirmado")&gt;4,SUMIFS($H$2:$H$201,$E$2:$E$201,E157,$AH$2:$AH$201,"Confirmado")&gt;4,SUMIFS($I$2:$I$201,$E$2:$E$201,E157,$AH$2:$AH$201,"Confirmado")&gt;4),"CAPACIDAD EXCEDIDA","OK"))))</f>
        <v/>
      </c>
      <c r="AN157" s="2" t="str">
        <f aca="true">IF(A157="","",IF(AND(AC157&lt;1,Q157&lt;TODAY(),AH157="Aceptado pendiente de pago/orden"),"PLAZO VENCIDO",IF(AND(AC157&lt;1,AD157&lt;&gt;"",AD157&lt;TODAY()),"VENCIDO","OK")))</f>
        <v/>
      </c>
      <c r="AO157" s="6"/>
      <c r="AP157" s="8"/>
      <c r="AQ157" s="6"/>
      <c r="AR157" s="6" t="s">
        <v>73</v>
      </c>
      <c r="AS157" s="6"/>
      <c r="AT157" s="6"/>
      <c r="AU157" s="6"/>
      <c r="AV157" s="6"/>
      <c r="AW157" s="8" t="str">
        <f aca="false">IF(AV157="","",AV157+60)</f>
        <v/>
      </c>
      <c r="AX157" s="11" t="str">
        <f aca="true">IF(A157="","",IF(AND(AV157&lt;&gt;"",AW157&lt;TODAY(),OR(AH157="Interés",AH157="Cotizado")),"Sí","No"))</f>
        <v/>
      </c>
      <c r="AY157" s="6"/>
      <c r="AZ157" s="6"/>
      <c r="BA157" s="6"/>
      <c r="BB157" s="6"/>
      <c r="BC157" s="4"/>
      <c r="BD157" s="12"/>
    </row>
    <row r="158" customFormat="false" ht="23.8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2" t="n">
        <f aca="false">SUM(F158:I158)</f>
        <v>0</v>
      </c>
      <c r="K158" s="6"/>
      <c r="L158" s="6"/>
      <c r="M158" s="7"/>
      <c r="N158" s="7"/>
      <c r="O158" s="8"/>
      <c r="P158" s="8"/>
      <c r="Q158" s="8"/>
      <c r="R158" s="8"/>
      <c r="S158" s="8"/>
      <c r="T158" s="6"/>
      <c r="U158" s="6"/>
      <c r="V158" s="6"/>
      <c r="W158" s="6"/>
      <c r="X158" s="8"/>
      <c r="Y158" s="6"/>
      <c r="Z158" s="6"/>
      <c r="AA158" s="7"/>
      <c r="AB158" s="9" t="str">
        <f aca="false">IF(N158="","",MAX(0,N158-AA158))</f>
        <v/>
      </c>
      <c r="AC158" s="10" t="str">
        <f aca="false">IF(N158="","",IF(N158=0,0,AA158/N158))</f>
        <v/>
      </c>
      <c r="AD158" s="8"/>
      <c r="AE158" s="6"/>
      <c r="AF158" s="6"/>
      <c r="AG158" s="6"/>
      <c r="AH158" s="6"/>
      <c r="AI158" s="2" t="str">
        <f aca="false">IF(A158="","",IF(V158="Yes",IF(U158="Yes",1,2),""))</f>
        <v/>
      </c>
      <c r="AJ158" s="8"/>
      <c r="AK158" s="2" t="str">
        <f aca="false">IF(A158="","",IF(AJ158="","",COUNTIFS($E$2:$E$201,E158,$AI$2:$AI$201,AI158,$AJ$2:$AJ$201,"&lt;="&amp;AJ158)))</f>
        <v/>
      </c>
      <c r="AL158" s="2" t="str">
        <f aca="false">IF(A158="","",IF(AH158&lt;&gt;"Confirmado","No",IF(AG158="CO/SO₂ simultáneos",IF(OR(COUNTIFS($E$2:$E$201,E158,$AH$2:$AH$201,"Confirmado",$AG$2:$AG$201,"CO/SO₂ simultáneos")=3,SUMIFS($J$2:$J$201,$E$2:$E$201,E158,$AH$2:$AH$201,"Confirmado",$AG$2:$AG$201,"CO/SO₂ simultáneos")=6),"Sí","No"),IF(OR(AND(F158&gt;0,SUMIFS($F$2:$F$201,$E$2:$E$201,E158,$AH$2:$AH$201,"Confirmado")=4),AND(G158&gt;0,SUMIFS($G$2:$G$201,$E$2:$E$201,E158,$AH$2:$AH$201,"Confirmado")=4),AND(H158&gt;0,SUMIFS($H$2:$H$201,$E$2:$E$201,E158,$AH$2:$AH$201,"Confirmado")=4),AND(I158&gt;0,SUMIFS($I$2:$I$201,$E$2:$E$201,E158,$AH$2:$AH$201,"Confirmado")=4)),"Sí","No"))))</f>
        <v/>
      </c>
      <c r="AM158" s="2" t="str">
        <f aca="false">IF(A158="","",IF(AH158&lt;&gt;"Confirmado","",IF(AG158="CO/SO₂ simultáneos",IF(OR(COUNTIFS($E$2:$E$201,E158,$AH$2:$AH$201,"Confirmado",$AG$2:$AG$201,"CO/SO₂ simultáneos")&gt;3,SUMIFS($J$2:$J$201,$E$2:$E$201,E158,$AH$2:$AH$201,"Confirmado",$AG$2:$AG$201,"CO/SO₂ simultáneos")&gt;6),"CAPACIDAD EXCEDIDA","OK"),IF(OR(SUMIFS($F$2:$F$201,$E$2:$E$201,E158,$AH$2:$AH$201,"Confirmado")&gt;4,SUMIFS($G$2:$G$201,$E$2:$E$201,E158,$AH$2:$AH$201,"Confirmado")&gt;4,SUMIFS($H$2:$H$201,$E$2:$E$201,E158,$AH$2:$AH$201,"Confirmado")&gt;4,SUMIFS($I$2:$I$201,$E$2:$E$201,E158,$AH$2:$AH$201,"Confirmado")&gt;4),"CAPACIDAD EXCEDIDA","OK"))))</f>
        <v/>
      </c>
      <c r="AN158" s="2" t="str">
        <f aca="true">IF(A158="","",IF(AND(AC158&lt;1,Q158&lt;TODAY(),AH158="Aceptado pendiente de pago/orden"),"PLAZO VENCIDO",IF(AND(AC158&lt;1,AD158&lt;&gt;"",AD158&lt;TODAY()),"VENCIDO","OK")))</f>
        <v/>
      </c>
      <c r="AO158" s="6"/>
      <c r="AP158" s="8"/>
      <c r="AQ158" s="6"/>
      <c r="AR158" s="6" t="s">
        <v>73</v>
      </c>
      <c r="AS158" s="6"/>
      <c r="AT158" s="6"/>
      <c r="AU158" s="6"/>
      <c r="AV158" s="6"/>
      <c r="AW158" s="8" t="str">
        <f aca="false">IF(AV158="","",AV158+60)</f>
        <v/>
      </c>
      <c r="AX158" s="11" t="str">
        <f aca="true">IF(A158="","",IF(AND(AV158&lt;&gt;"",AW158&lt;TODAY(),OR(AH158="Interés",AH158="Cotizado")),"Sí","No"))</f>
        <v/>
      </c>
      <c r="AY158" s="6"/>
      <c r="AZ158" s="6"/>
      <c r="BA158" s="6"/>
      <c r="BB158" s="6"/>
      <c r="BC158" s="4"/>
      <c r="BD158" s="12"/>
    </row>
    <row r="159" customFormat="false" ht="23.8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2" t="n">
        <f aca="false">SUM(F159:I159)</f>
        <v>0</v>
      </c>
      <c r="K159" s="6"/>
      <c r="L159" s="6"/>
      <c r="M159" s="7"/>
      <c r="N159" s="7"/>
      <c r="O159" s="8"/>
      <c r="P159" s="8"/>
      <c r="Q159" s="8"/>
      <c r="R159" s="8"/>
      <c r="S159" s="8"/>
      <c r="T159" s="6"/>
      <c r="U159" s="6"/>
      <c r="V159" s="6"/>
      <c r="W159" s="6"/>
      <c r="X159" s="8"/>
      <c r="Y159" s="6"/>
      <c r="Z159" s="6"/>
      <c r="AA159" s="7"/>
      <c r="AB159" s="9" t="str">
        <f aca="false">IF(N159="","",MAX(0,N159-AA159))</f>
        <v/>
      </c>
      <c r="AC159" s="10" t="str">
        <f aca="false">IF(N159="","",IF(N159=0,0,AA159/N159))</f>
        <v/>
      </c>
      <c r="AD159" s="8"/>
      <c r="AE159" s="6"/>
      <c r="AF159" s="6"/>
      <c r="AG159" s="6"/>
      <c r="AH159" s="6"/>
      <c r="AI159" s="2" t="str">
        <f aca="false">IF(A159="","",IF(V159="Yes",IF(U159="Yes",1,2),""))</f>
        <v/>
      </c>
      <c r="AJ159" s="8"/>
      <c r="AK159" s="2" t="str">
        <f aca="false">IF(A159="","",IF(AJ159="","",COUNTIFS($E$2:$E$201,E159,$AI$2:$AI$201,AI159,$AJ$2:$AJ$201,"&lt;="&amp;AJ159)))</f>
        <v/>
      </c>
      <c r="AL159" s="2" t="str">
        <f aca="false">IF(A159="","",IF(AH159&lt;&gt;"Confirmado","No",IF(AG159="CO/SO₂ simultáneos",IF(OR(COUNTIFS($E$2:$E$201,E159,$AH$2:$AH$201,"Confirmado",$AG$2:$AG$201,"CO/SO₂ simultáneos")=3,SUMIFS($J$2:$J$201,$E$2:$E$201,E159,$AH$2:$AH$201,"Confirmado",$AG$2:$AG$201,"CO/SO₂ simultáneos")=6),"Sí","No"),IF(OR(AND(F159&gt;0,SUMIFS($F$2:$F$201,$E$2:$E$201,E159,$AH$2:$AH$201,"Confirmado")=4),AND(G159&gt;0,SUMIFS($G$2:$G$201,$E$2:$E$201,E159,$AH$2:$AH$201,"Confirmado")=4),AND(H159&gt;0,SUMIFS($H$2:$H$201,$E$2:$E$201,E159,$AH$2:$AH$201,"Confirmado")=4),AND(I159&gt;0,SUMIFS($I$2:$I$201,$E$2:$E$201,E159,$AH$2:$AH$201,"Confirmado")=4)),"Sí","No"))))</f>
        <v/>
      </c>
      <c r="AM159" s="2" t="str">
        <f aca="false">IF(A159="","",IF(AH159&lt;&gt;"Confirmado","",IF(AG159="CO/SO₂ simultáneos",IF(OR(COUNTIFS($E$2:$E$201,E159,$AH$2:$AH$201,"Confirmado",$AG$2:$AG$201,"CO/SO₂ simultáneos")&gt;3,SUMIFS($J$2:$J$201,$E$2:$E$201,E159,$AH$2:$AH$201,"Confirmado",$AG$2:$AG$201,"CO/SO₂ simultáneos")&gt;6),"CAPACIDAD EXCEDIDA","OK"),IF(OR(SUMIFS($F$2:$F$201,$E$2:$E$201,E159,$AH$2:$AH$201,"Confirmado")&gt;4,SUMIFS($G$2:$G$201,$E$2:$E$201,E159,$AH$2:$AH$201,"Confirmado")&gt;4,SUMIFS($H$2:$H$201,$E$2:$E$201,E159,$AH$2:$AH$201,"Confirmado")&gt;4,SUMIFS($I$2:$I$201,$E$2:$E$201,E159,$AH$2:$AH$201,"Confirmado")&gt;4),"CAPACIDAD EXCEDIDA","OK"))))</f>
        <v/>
      </c>
      <c r="AN159" s="2" t="str">
        <f aca="true">IF(A159="","",IF(AND(AC159&lt;1,Q159&lt;TODAY(),AH159="Aceptado pendiente de pago/orden"),"PLAZO VENCIDO",IF(AND(AC159&lt;1,AD159&lt;&gt;"",AD159&lt;TODAY()),"VENCIDO","OK")))</f>
        <v/>
      </c>
      <c r="AO159" s="6"/>
      <c r="AP159" s="8"/>
      <c r="AQ159" s="6"/>
      <c r="AR159" s="6" t="s">
        <v>73</v>
      </c>
      <c r="AS159" s="6"/>
      <c r="AT159" s="6"/>
      <c r="AU159" s="6"/>
      <c r="AV159" s="6"/>
      <c r="AW159" s="8" t="str">
        <f aca="false">IF(AV159="","",AV159+60)</f>
        <v/>
      </c>
      <c r="AX159" s="11" t="str">
        <f aca="true">IF(A159="","",IF(AND(AV159&lt;&gt;"",AW159&lt;TODAY(),OR(AH159="Interés",AH159="Cotizado")),"Sí","No"))</f>
        <v/>
      </c>
      <c r="AY159" s="6"/>
      <c r="AZ159" s="6"/>
      <c r="BA159" s="6"/>
      <c r="BB159" s="6"/>
      <c r="BC159" s="4"/>
      <c r="BD159" s="12"/>
    </row>
    <row r="160" customFormat="false" ht="23.8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2" t="n">
        <f aca="false">SUM(F160:I160)</f>
        <v>0</v>
      </c>
      <c r="K160" s="6"/>
      <c r="L160" s="6"/>
      <c r="M160" s="7"/>
      <c r="N160" s="7"/>
      <c r="O160" s="8"/>
      <c r="P160" s="8"/>
      <c r="Q160" s="8"/>
      <c r="R160" s="8"/>
      <c r="S160" s="8"/>
      <c r="T160" s="6"/>
      <c r="U160" s="6"/>
      <c r="V160" s="6"/>
      <c r="W160" s="6"/>
      <c r="X160" s="8"/>
      <c r="Y160" s="6"/>
      <c r="Z160" s="6"/>
      <c r="AA160" s="7"/>
      <c r="AB160" s="9" t="str">
        <f aca="false">IF(N160="","",MAX(0,N160-AA160))</f>
        <v/>
      </c>
      <c r="AC160" s="10" t="str">
        <f aca="false">IF(N160="","",IF(N160=0,0,AA160/N160))</f>
        <v/>
      </c>
      <c r="AD160" s="8"/>
      <c r="AE160" s="6"/>
      <c r="AF160" s="6"/>
      <c r="AG160" s="6"/>
      <c r="AH160" s="6"/>
      <c r="AI160" s="2" t="str">
        <f aca="false">IF(A160="","",IF(V160="Yes",IF(U160="Yes",1,2),""))</f>
        <v/>
      </c>
      <c r="AJ160" s="8"/>
      <c r="AK160" s="2" t="str">
        <f aca="false">IF(A160="","",IF(AJ160="","",COUNTIFS($E$2:$E$201,E160,$AI$2:$AI$201,AI160,$AJ$2:$AJ$201,"&lt;="&amp;AJ160)))</f>
        <v/>
      </c>
      <c r="AL160" s="2" t="str">
        <f aca="false">IF(A160="","",IF(AH160&lt;&gt;"Confirmado","No",IF(AG160="CO/SO₂ simultáneos",IF(OR(COUNTIFS($E$2:$E$201,E160,$AH$2:$AH$201,"Confirmado",$AG$2:$AG$201,"CO/SO₂ simultáneos")=3,SUMIFS($J$2:$J$201,$E$2:$E$201,E160,$AH$2:$AH$201,"Confirmado",$AG$2:$AG$201,"CO/SO₂ simultáneos")=6),"Sí","No"),IF(OR(AND(F160&gt;0,SUMIFS($F$2:$F$201,$E$2:$E$201,E160,$AH$2:$AH$201,"Confirmado")=4),AND(G160&gt;0,SUMIFS($G$2:$G$201,$E$2:$E$201,E160,$AH$2:$AH$201,"Confirmado")=4),AND(H160&gt;0,SUMIFS($H$2:$H$201,$E$2:$E$201,E160,$AH$2:$AH$201,"Confirmado")=4),AND(I160&gt;0,SUMIFS($I$2:$I$201,$E$2:$E$201,E160,$AH$2:$AH$201,"Confirmado")=4)),"Sí","No"))))</f>
        <v/>
      </c>
      <c r="AM160" s="2" t="str">
        <f aca="false">IF(A160="","",IF(AH160&lt;&gt;"Confirmado","",IF(AG160="CO/SO₂ simultáneos",IF(OR(COUNTIFS($E$2:$E$201,E160,$AH$2:$AH$201,"Confirmado",$AG$2:$AG$201,"CO/SO₂ simultáneos")&gt;3,SUMIFS($J$2:$J$201,$E$2:$E$201,E160,$AH$2:$AH$201,"Confirmado",$AG$2:$AG$201,"CO/SO₂ simultáneos")&gt;6),"CAPACIDAD EXCEDIDA","OK"),IF(OR(SUMIFS($F$2:$F$201,$E$2:$E$201,E160,$AH$2:$AH$201,"Confirmado")&gt;4,SUMIFS($G$2:$G$201,$E$2:$E$201,E160,$AH$2:$AH$201,"Confirmado")&gt;4,SUMIFS($H$2:$H$201,$E$2:$E$201,E160,$AH$2:$AH$201,"Confirmado")&gt;4,SUMIFS($I$2:$I$201,$E$2:$E$201,E160,$AH$2:$AH$201,"Confirmado")&gt;4),"CAPACIDAD EXCEDIDA","OK"))))</f>
        <v/>
      </c>
      <c r="AN160" s="2" t="str">
        <f aca="true">IF(A160="","",IF(AND(AC160&lt;1,Q160&lt;TODAY(),AH160="Aceptado pendiente de pago/orden"),"PLAZO VENCIDO",IF(AND(AC160&lt;1,AD160&lt;&gt;"",AD160&lt;TODAY()),"VENCIDO","OK")))</f>
        <v/>
      </c>
      <c r="AO160" s="6"/>
      <c r="AP160" s="8"/>
      <c r="AQ160" s="6"/>
      <c r="AR160" s="6" t="s">
        <v>73</v>
      </c>
      <c r="AS160" s="6"/>
      <c r="AT160" s="6"/>
      <c r="AU160" s="6"/>
      <c r="AV160" s="6"/>
      <c r="AW160" s="8" t="str">
        <f aca="false">IF(AV160="","",AV160+60)</f>
        <v/>
      </c>
      <c r="AX160" s="11" t="str">
        <f aca="true">IF(A160="","",IF(AND(AV160&lt;&gt;"",AW160&lt;TODAY(),OR(AH160="Interés",AH160="Cotizado")),"Sí","No"))</f>
        <v/>
      </c>
      <c r="AY160" s="6"/>
      <c r="AZ160" s="6"/>
      <c r="BA160" s="6"/>
      <c r="BB160" s="6"/>
      <c r="BC160" s="4"/>
      <c r="BD160" s="12"/>
    </row>
    <row r="161" customFormat="false" ht="23.8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2" t="n">
        <f aca="false">SUM(F161:I161)</f>
        <v>0</v>
      </c>
      <c r="K161" s="6"/>
      <c r="L161" s="6"/>
      <c r="M161" s="7"/>
      <c r="N161" s="7"/>
      <c r="O161" s="8"/>
      <c r="P161" s="8"/>
      <c r="Q161" s="8"/>
      <c r="R161" s="8"/>
      <c r="S161" s="8"/>
      <c r="T161" s="6"/>
      <c r="U161" s="6"/>
      <c r="V161" s="6"/>
      <c r="W161" s="6"/>
      <c r="X161" s="8"/>
      <c r="Y161" s="6"/>
      <c r="Z161" s="6"/>
      <c r="AA161" s="7"/>
      <c r="AB161" s="9" t="str">
        <f aca="false">IF(N161="","",MAX(0,N161-AA161))</f>
        <v/>
      </c>
      <c r="AC161" s="10" t="str">
        <f aca="false">IF(N161="","",IF(N161=0,0,AA161/N161))</f>
        <v/>
      </c>
      <c r="AD161" s="8"/>
      <c r="AE161" s="6"/>
      <c r="AF161" s="6"/>
      <c r="AG161" s="6"/>
      <c r="AH161" s="6"/>
      <c r="AI161" s="2" t="str">
        <f aca="false">IF(A161="","",IF(V161="Yes",IF(U161="Yes",1,2),""))</f>
        <v/>
      </c>
      <c r="AJ161" s="8"/>
      <c r="AK161" s="2" t="str">
        <f aca="false">IF(A161="","",IF(AJ161="","",COUNTIFS($E$2:$E$201,E161,$AI$2:$AI$201,AI161,$AJ$2:$AJ$201,"&lt;="&amp;AJ161)))</f>
        <v/>
      </c>
      <c r="AL161" s="2" t="str">
        <f aca="false">IF(A161="","",IF(AH161&lt;&gt;"Confirmado","No",IF(AG161="CO/SO₂ simultáneos",IF(OR(COUNTIFS($E$2:$E$201,E161,$AH$2:$AH$201,"Confirmado",$AG$2:$AG$201,"CO/SO₂ simultáneos")=3,SUMIFS($J$2:$J$201,$E$2:$E$201,E161,$AH$2:$AH$201,"Confirmado",$AG$2:$AG$201,"CO/SO₂ simultáneos")=6),"Sí","No"),IF(OR(AND(F161&gt;0,SUMIFS($F$2:$F$201,$E$2:$E$201,E161,$AH$2:$AH$201,"Confirmado")=4),AND(G161&gt;0,SUMIFS($G$2:$G$201,$E$2:$E$201,E161,$AH$2:$AH$201,"Confirmado")=4),AND(H161&gt;0,SUMIFS($H$2:$H$201,$E$2:$E$201,E161,$AH$2:$AH$201,"Confirmado")=4),AND(I161&gt;0,SUMIFS($I$2:$I$201,$E$2:$E$201,E161,$AH$2:$AH$201,"Confirmado")=4)),"Sí","No"))))</f>
        <v/>
      </c>
      <c r="AM161" s="2" t="str">
        <f aca="false">IF(A161="","",IF(AH161&lt;&gt;"Confirmado","",IF(AG161="CO/SO₂ simultáneos",IF(OR(COUNTIFS($E$2:$E$201,E161,$AH$2:$AH$201,"Confirmado",$AG$2:$AG$201,"CO/SO₂ simultáneos")&gt;3,SUMIFS($J$2:$J$201,$E$2:$E$201,E161,$AH$2:$AH$201,"Confirmado",$AG$2:$AG$201,"CO/SO₂ simultáneos")&gt;6),"CAPACIDAD EXCEDIDA","OK"),IF(OR(SUMIFS($F$2:$F$201,$E$2:$E$201,E161,$AH$2:$AH$201,"Confirmado")&gt;4,SUMIFS($G$2:$G$201,$E$2:$E$201,E161,$AH$2:$AH$201,"Confirmado")&gt;4,SUMIFS($H$2:$H$201,$E$2:$E$201,E161,$AH$2:$AH$201,"Confirmado")&gt;4,SUMIFS($I$2:$I$201,$E$2:$E$201,E161,$AH$2:$AH$201,"Confirmado")&gt;4),"CAPACIDAD EXCEDIDA","OK"))))</f>
        <v/>
      </c>
      <c r="AN161" s="2" t="str">
        <f aca="true">IF(A161="","",IF(AND(AC161&lt;1,Q161&lt;TODAY(),AH161="Aceptado pendiente de pago/orden"),"PLAZO VENCIDO",IF(AND(AC161&lt;1,AD161&lt;&gt;"",AD161&lt;TODAY()),"VENCIDO","OK")))</f>
        <v/>
      </c>
      <c r="AO161" s="6"/>
      <c r="AP161" s="8"/>
      <c r="AQ161" s="6"/>
      <c r="AR161" s="6" t="s">
        <v>73</v>
      </c>
      <c r="AS161" s="6"/>
      <c r="AT161" s="6"/>
      <c r="AU161" s="6"/>
      <c r="AV161" s="6"/>
      <c r="AW161" s="8" t="str">
        <f aca="false">IF(AV161="","",AV161+60)</f>
        <v/>
      </c>
      <c r="AX161" s="11" t="str">
        <f aca="true">IF(A161="","",IF(AND(AV161&lt;&gt;"",AW161&lt;TODAY(),OR(AH161="Interés",AH161="Cotizado")),"Sí","No"))</f>
        <v/>
      </c>
      <c r="AY161" s="6"/>
      <c r="AZ161" s="6"/>
      <c r="BA161" s="6"/>
      <c r="BB161" s="6"/>
      <c r="BC161" s="4"/>
      <c r="BD161" s="12"/>
    </row>
    <row r="162" customFormat="false" ht="23.8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2" t="n">
        <f aca="false">SUM(F162:I162)</f>
        <v>0</v>
      </c>
      <c r="K162" s="6"/>
      <c r="L162" s="6"/>
      <c r="M162" s="7"/>
      <c r="N162" s="7"/>
      <c r="O162" s="8"/>
      <c r="P162" s="8"/>
      <c r="Q162" s="8"/>
      <c r="R162" s="8"/>
      <c r="S162" s="8"/>
      <c r="T162" s="6"/>
      <c r="U162" s="6"/>
      <c r="V162" s="6"/>
      <c r="W162" s="6"/>
      <c r="X162" s="8"/>
      <c r="Y162" s="6"/>
      <c r="Z162" s="6"/>
      <c r="AA162" s="7"/>
      <c r="AB162" s="9" t="str">
        <f aca="false">IF(N162="","",MAX(0,N162-AA162))</f>
        <v/>
      </c>
      <c r="AC162" s="10" t="str">
        <f aca="false">IF(N162="","",IF(N162=0,0,AA162/N162))</f>
        <v/>
      </c>
      <c r="AD162" s="8"/>
      <c r="AE162" s="6"/>
      <c r="AF162" s="6"/>
      <c r="AG162" s="6"/>
      <c r="AH162" s="6"/>
      <c r="AI162" s="2" t="str">
        <f aca="false">IF(A162="","",IF(V162="Yes",IF(U162="Yes",1,2),""))</f>
        <v/>
      </c>
      <c r="AJ162" s="8"/>
      <c r="AK162" s="2" t="str">
        <f aca="false">IF(A162="","",IF(AJ162="","",COUNTIFS($E$2:$E$201,E162,$AI$2:$AI$201,AI162,$AJ$2:$AJ$201,"&lt;="&amp;AJ162)))</f>
        <v/>
      </c>
      <c r="AL162" s="2" t="str">
        <f aca="false">IF(A162="","",IF(AH162&lt;&gt;"Confirmado","No",IF(AG162="CO/SO₂ simultáneos",IF(OR(COUNTIFS($E$2:$E$201,E162,$AH$2:$AH$201,"Confirmado",$AG$2:$AG$201,"CO/SO₂ simultáneos")=3,SUMIFS($J$2:$J$201,$E$2:$E$201,E162,$AH$2:$AH$201,"Confirmado",$AG$2:$AG$201,"CO/SO₂ simultáneos")=6),"Sí","No"),IF(OR(AND(F162&gt;0,SUMIFS($F$2:$F$201,$E$2:$E$201,E162,$AH$2:$AH$201,"Confirmado")=4),AND(G162&gt;0,SUMIFS($G$2:$G$201,$E$2:$E$201,E162,$AH$2:$AH$201,"Confirmado")=4),AND(H162&gt;0,SUMIFS($H$2:$H$201,$E$2:$E$201,E162,$AH$2:$AH$201,"Confirmado")=4),AND(I162&gt;0,SUMIFS($I$2:$I$201,$E$2:$E$201,E162,$AH$2:$AH$201,"Confirmado")=4)),"Sí","No"))))</f>
        <v/>
      </c>
      <c r="AM162" s="2" t="str">
        <f aca="false">IF(A162="","",IF(AH162&lt;&gt;"Confirmado","",IF(AG162="CO/SO₂ simultáneos",IF(OR(COUNTIFS($E$2:$E$201,E162,$AH$2:$AH$201,"Confirmado",$AG$2:$AG$201,"CO/SO₂ simultáneos")&gt;3,SUMIFS($J$2:$J$201,$E$2:$E$201,E162,$AH$2:$AH$201,"Confirmado",$AG$2:$AG$201,"CO/SO₂ simultáneos")&gt;6),"CAPACIDAD EXCEDIDA","OK"),IF(OR(SUMIFS($F$2:$F$201,$E$2:$E$201,E162,$AH$2:$AH$201,"Confirmado")&gt;4,SUMIFS($G$2:$G$201,$E$2:$E$201,E162,$AH$2:$AH$201,"Confirmado")&gt;4,SUMIFS($H$2:$H$201,$E$2:$E$201,E162,$AH$2:$AH$201,"Confirmado")&gt;4,SUMIFS($I$2:$I$201,$E$2:$E$201,E162,$AH$2:$AH$201,"Confirmado")&gt;4),"CAPACIDAD EXCEDIDA","OK"))))</f>
        <v/>
      </c>
      <c r="AN162" s="2" t="str">
        <f aca="true">IF(A162="","",IF(AND(AC162&lt;1,Q162&lt;TODAY(),AH162="Aceptado pendiente de pago/orden"),"PLAZO VENCIDO",IF(AND(AC162&lt;1,AD162&lt;&gt;"",AD162&lt;TODAY()),"VENCIDO","OK")))</f>
        <v/>
      </c>
      <c r="AO162" s="6"/>
      <c r="AP162" s="8"/>
      <c r="AQ162" s="6"/>
      <c r="AR162" s="6" t="s">
        <v>73</v>
      </c>
      <c r="AS162" s="6"/>
      <c r="AT162" s="6"/>
      <c r="AU162" s="6"/>
      <c r="AV162" s="6"/>
      <c r="AW162" s="8" t="str">
        <f aca="false">IF(AV162="","",AV162+60)</f>
        <v/>
      </c>
      <c r="AX162" s="11" t="str">
        <f aca="true">IF(A162="","",IF(AND(AV162&lt;&gt;"",AW162&lt;TODAY(),OR(AH162="Interés",AH162="Cotizado")),"Sí","No"))</f>
        <v/>
      </c>
      <c r="AY162" s="6"/>
      <c r="AZ162" s="6"/>
      <c r="BA162" s="6"/>
      <c r="BB162" s="6"/>
      <c r="BC162" s="4"/>
      <c r="BD162" s="12"/>
    </row>
    <row r="163" customFormat="false" ht="23.8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2" t="n">
        <f aca="false">SUM(F163:I163)</f>
        <v>0</v>
      </c>
      <c r="K163" s="6"/>
      <c r="L163" s="6"/>
      <c r="M163" s="7"/>
      <c r="N163" s="7"/>
      <c r="O163" s="8"/>
      <c r="P163" s="8"/>
      <c r="Q163" s="8"/>
      <c r="R163" s="8"/>
      <c r="S163" s="8"/>
      <c r="T163" s="6"/>
      <c r="U163" s="6"/>
      <c r="V163" s="6"/>
      <c r="W163" s="6"/>
      <c r="X163" s="8"/>
      <c r="Y163" s="6"/>
      <c r="Z163" s="6"/>
      <c r="AA163" s="7"/>
      <c r="AB163" s="9" t="str">
        <f aca="false">IF(N163="","",MAX(0,N163-AA163))</f>
        <v/>
      </c>
      <c r="AC163" s="10" t="str">
        <f aca="false">IF(N163="","",IF(N163=0,0,AA163/N163))</f>
        <v/>
      </c>
      <c r="AD163" s="8"/>
      <c r="AE163" s="6"/>
      <c r="AF163" s="6"/>
      <c r="AG163" s="6"/>
      <c r="AH163" s="6"/>
      <c r="AI163" s="2" t="str">
        <f aca="false">IF(A163="","",IF(V163="Yes",IF(U163="Yes",1,2),""))</f>
        <v/>
      </c>
      <c r="AJ163" s="8"/>
      <c r="AK163" s="2" t="str">
        <f aca="false">IF(A163="","",IF(AJ163="","",COUNTIFS($E$2:$E$201,E163,$AI$2:$AI$201,AI163,$AJ$2:$AJ$201,"&lt;="&amp;AJ163)))</f>
        <v/>
      </c>
      <c r="AL163" s="2" t="str">
        <f aca="false">IF(A163="","",IF(AH163&lt;&gt;"Confirmado","No",IF(AG163="CO/SO₂ simultáneos",IF(OR(COUNTIFS($E$2:$E$201,E163,$AH$2:$AH$201,"Confirmado",$AG$2:$AG$201,"CO/SO₂ simultáneos")=3,SUMIFS($J$2:$J$201,$E$2:$E$201,E163,$AH$2:$AH$201,"Confirmado",$AG$2:$AG$201,"CO/SO₂ simultáneos")=6),"Sí","No"),IF(OR(AND(F163&gt;0,SUMIFS($F$2:$F$201,$E$2:$E$201,E163,$AH$2:$AH$201,"Confirmado")=4),AND(G163&gt;0,SUMIFS($G$2:$G$201,$E$2:$E$201,E163,$AH$2:$AH$201,"Confirmado")=4),AND(H163&gt;0,SUMIFS($H$2:$H$201,$E$2:$E$201,E163,$AH$2:$AH$201,"Confirmado")=4),AND(I163&gt;0,SUMIFS($I$2:$I$201,$E$2:$E$201,E163,$AH$2:$AH$201,"Confirmado")=4)),"Sí","No"))))</f>
        <v/>
      </c>
      <c r="AM163" s="2" t="str">
        <f aca="false">IF(A163="","",IF(AH163&lt;&gt;"Confirmado","",IF(AG163="CO/SO₂ simultáneos",IF(OR(COUNTIFS($E$2:$E$201,E163,$AH$2:$AH$201,"Confirmado",$AG$2:$AG$201,"CO/SO₂ simultáneos")&gt;3,SUMIFS($J$2:$J$201,$E$2:$E$201,E163,$AH$2:$AH$201,"Confirmado",$AG$2:$AG$201,"CO/SO₂ simultáneos")&gt;6),"CAPACIDAD EXCEDIDA","OK"),IF(OR(SUMIFS($F$2:$F$201,$E$2:$E$201,E163,$AH$2:$AH$201,"Confirmado")&gt;4,SUMIFS($G$2:$G$201,$E$2:$E$201,E163,$AH$2:$AH$201,"Confirmado")&gt;4,SUMIFS($H$2:$H$201,$E$2:$E$201,E163,$AH$2:$AH$201,"Confirmado")&gt;4,SUMIFS($I$2:$I$201,$E$2:$E$201,E163,$AH$2:$AH$201,"Confirmado")&gt;4),"CAPACIDAD EXCEDIDA","OK"))))</f>
        <v/>
      </c>
      <c r="AN163" s="2" t="str">
        <f aca="true">IF(A163="","",IF(AND(AC163&lt;1,Q163&lt;TODAY(),AH163="Aceptado pendiente de pago/orden"),"PLAZO VENCIDO",IF(AND(AC163&lt;1,AD163&lt;&gt;"",AD163&lt;TODAY()),"VENCIDO","OK")))</f>
        <v/>
      </c>
      <c r="AO163" s="6"/>
      <c r="AP163" s="8"/>
      <c r="AQ163" s="6"/>
      <c r="AR163" s="6" t="s">
        <v>73</v>
      </c>
      <c r="AS163" s="6"/>
      <c r="AT163" s="6"/>
      <c r="AU163" s="6"/>
      <c r="AV163" s="6"/>
      <c r="AW163" s="8" t="str">
        <f aca="false">IF(AV163="","",AV163+60)</f>
        <v/>
      </c>
      <c r="AX163" s="11" t="str">
        <f aca="true">IF(A163="","",IF(AND(AV163&lt;&gt;"",AW163&lt;TODAY(),OR(AH163="Interés",AH163="Cotizado")),"Sí","No"))</f>
        <v/>
      </c>
      <c r="AY163" s="6"/>
      <c r="AZ163" s="6"/>
      <c r="BA163" s="6"/>
      <c r="BB163" s="6"/>
      <c r="BC163" s="4"/>
      <c r="BD163" s="12"/>
    </row>
    <row r="164" customFormat="false" ht="23.8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2" t="n">
        <f aca="false">SUM(F164:I164)</f>
        <v>0</v>
      </c>
      <c r="K164" s="6"/>
      <c r="L164" s="6"/>
      <c r="M164" s="7"/>
      <c r="N164" s="7"/>
      <c r="O164" s="8"/>
      <c r="P164" s="8"/>
      <c r="Q164" s="8"/>
      <c r="R164" s="8"/>
      <c r="S164" s="8"/>
      <c r="T164" s="6"/>
      <c r="U164" s="6"/>
      <c r="V164" s="6"/>
      <c r="W164" s="6"/>
      <c r="X164" s="8"/>
      <c r="Y164" s="6"/>
      <c r="Z164" s="6"/>
      <c r="AA164" s="7"/>
      <c r="AB164" s="9" t="str">
        <f aca="false">IF(N164="","",MAX(0,N164-AA164))</f>
        <v/>
      </c>
      <c r="AC164" s="10" t="str">
        <f aca="false">IF(N164="","",IF(N164=0,0,AA164/N164))</f>
        <v/>
      </c>
      <c r="AD164" s="8"/>
      <c r="AE164" s="6"/>
      <c r="AF164" s="6"/>
      <c r="AG164" s="6"/>
      <c r="AH164" s="6"/>
      <c r="AI164" s="2" t="str">
        <f aca="false">IF(A164="","",IF(V164="Yes",IF(U164="Yes",1,2),""))</f>
        <v/>
      </c>
      <c r="AJ164" s="8"/>
      <c r="AK164" s="2" t="str">
        <f aca="false">IF(A164="","",IF(AJ164="","",COUNTIFS($E$2:$E$201,E164,$AI$2:$AI$201,AI164,$AJ$2:$AJ$201,"&lt;="&amp;AJ164)))</f>
        <v/>
      </c>
      <c r="AL164" s="2" t="str">
        <f aca="false">IF(A164="","",IF(AH164&lt;&gt;"Confirmado","No",IF(AG164="CO/SO₂ simultáneos",IF(OR(COUNTIFS($E$2:$E$201,E164,$AH$2:$AH$201,"Confirmado",$AG$2:$AG$201,"CO/SO₂ simultáneos")=3,SUMIFS($J$2:$J$201,$E$2:$E$201,E164,$AH$2:$AH$201,"Confirmado",$AG$2:$AG$201,"CO/SO₂ simultáneos")=6),"Sí","No"),IF(OR(AND(F164&gt;0,SUMIFS($F$2:$F$201,$E$2:$E$201,E164,$AH$2:$AH$201,"Confirmado")=4),AND(G164&gt;0,SUMIFS($G$2:$G$201,$E$2:$E$201,E164,$AH$2:$AH$201,"Confirmado")=4),AND(H164&gt;0,SUMIFS($H$2:$H$201,$E$2:$E$201,E164,$AH$2:$AH$201,"Confirmado")=4),AND(I164&gt;0,SUMIFS($I$2:$I$201,$E$2:$E$201,E164,$AH$2:$AH$201,"Confirmado")=4)),"Sí","No"))))</f>
        <v/>
      </c>
      <c r="AM164" s="2" t="str">
        <f aca="false">IF(A164="","",IF(AH164&lt;&gt;"Confirmado","",IF(AG164="CO/SO₂ simultáneos",IF(OR(COUNTIFS($E$2:$E$201,E164,$AH$2:$AH$201,"Confirmado",$AG$2:$AG$201,"CO/SO₂ simultáneos")&gt;3,SUMIFS($J$2:$J$201,$E$2:$E$201,E164,$AH$2:$AH$201,"Confirmado",$AG$2:$AG$201,"CO/SO₂ simultáneos")&gt;6),"CAPACIDAD EXCEDIDA","OK"),IF(OR(SUMIFS($F$2:$F$201,$E$2:$E$201,E164,$AH$2:$AH$201,"Confirmado")&gt;4,SUMIFS($G$2:$G$201,$E$2:$E$201,E164,$AH$2:$AH$201,"Confirmado")&gt;4,SUMIFS($H$2:$H$201,$E$2:$E$201,E164,$AH$2:$AH$201,"Confirmado")&gt;4,SUMIFS($I$2:$I$201,$E$2:$E$201,E164,$AH$2:$AH$201,"Confirmado")&gt;4),"CAPACIDAD EXCEDIDA","OK"))))</f>
        <v/>
      </c>
      <c r="AN164" s="2" t="str">
        <f aca="true">IF(A164="","",IF(AND(AC164&lt;1,Q164&lt;TODAY(),AH164="Aceptado pendiente de pago/orden"),"PLAZO VENCIDO",IF(AND(AC164&lt;1,AD164&lt;&gt;"",AD164&lt;TODAY()),"VENCIDO","OK")))</f>
        <v/>
      </c>
      <c r="AO164" s="6"/>
      <c r="AP164" s="8"/>
      <c r="AQ164" s="6"/>
      <c r="AR164" s="6" t="s">
        <v>73</v>
      </c>
      <c r="AS164" s="6"/>
      <c r="AT164" s="6"/>
      <c r="AU164" s="6"/>
      <c r="AV164" s="6"/>
      <c r="AW164" s="8" t="str">
        <f aca="false">IF(AV164="","",AV164+60)</f>
        <v/>
      </c>
      <c r="AX164" s="11" t="str">
        <f aca="true">IF(A164="","",IF(AND(AV164&lt;&gt;"",AW164&lt;TODAY(),OR(AH164="Interés",AH164="Cotizado")),"Sí","No"))</f>
        <v/>
      </c>
      <c r="AY164" s="6"/>
      <c r="AZ164" s="6"/>
      <c r="BA164" s="6"/>
      <c r="BB164" s="6"/>
      <c r="BC164" s="4"/>
      <c r="BD164" s="12"/>
    </row>
    <row r="165" customFormat="false" ht="23.8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2" t="n">
        <f aca="false">SUM(F165:I165)</f>
        <v>0</v>
      </c>
      <c r="K165" s="6"/>
      <c r="L165" s="6"/>
      <c r="M165" s="7"/>
      <c r="N165" s="7"/>
      <c r="O165" s="8"/>
      <c r="P165" s="8"/>
      <c r="Q165" s="8"/>
      <c r="R165" s="8"/>
      <c r="S165" s="8"/>
      <c r="T165" s="6"/>
      <c r="U165" s="6"/>
      <c r="V165" s="6"/>
      <c r="W165" s="6"/>
      <c r="X165" s="8"/>
      <c r="Y165" s="6"/>
      <c r="Z165" s="6"/>
      <c r="AA165" s="7"/>
      <c r="AB165" s="9" t="str">
        <f aca="false">IF(N165="","",MAX(0,N165-AA165))</f>
        <v/>
      </c>
      <c r="AC165" s="10" t="str">
        <f aca="false">IF(N165="","",IF(N165=0,0,AA165/N165))</f>
        <v/>
      </c>
      <c r="AD165" s="8"/>
      <c r="AE165" s="6"/>
      <c r="AF165" s="6"/>
      <c r="AG165" s="6"/>
      <c r="AH165" s="6"/>
      <c r="AI165" s="2" t="str">
        <f aca="false">IF(A165="","",IF(V165="Yes",IF(U165="Yes",1,2),""))</f>
        <v/>
      </c>
      <c r="AJ165" s="8"/>
      <c r="AK165" s="2" t="str">
        <f aca="false">IF(A165="","",IF(AJ165="","",COUNTIFS($E$2:$E$201,E165,$AI$2:$AI$201,AI165,$AJ$2:$AJ$201,"&lt;="&amp;AJ165)))</f>
        <v/>
      </c>
      <c r="AL165" s="2" t="str">
        <f aca="false">IF(A165="","",IF(AH165&lt;&gt;"Confirmado","No",IF(AG165="CO/SO₂ simultáneos",IF(OR(COUNTIFS($E$2:$E$201,E165,$AH$2:$AH$201,"Confirmado",$AG$2:$AG$201,"CO/SO₂ simultáneos")=3,SUMIFS($J$2:$J$201,$E$2:$E$201,E165,$AH$2:$AH$201,"Confirmado",$AG$2:$AG$201,"CO/SO₂ simultáneos")=6),"Sí","No"),IF(OR(AND(F165&gt;0,SUMIFS($F$2:$F$201,$E$2:$E$201,E165,$AH$2:$AH$201,"Confirmado")=4),AND(G165&gt;0,SUMIFS($G$2:$G$201,$E$2:$E$201,E165,$AH$2:$AH$201,"Confirmado")=4),AND(H165&gt;0,SUMIFS($H$2:$H$201,$E$2:$E$201,E165,$AH$2:$AH$201,"Confirmado")=4),AND(I165&gt;0,SUMIFS($I$2:$I$201,$E$2:$E$201,E165,$AH$2:$AH$201,"Confirmado")=4)),"Sí","No"))))</f>
        <v/>
      </c>
      <c r="AM165" s="2" t="str">
        <f aca="false">IF(A165="","",IF(AH165&lt;&gt;"Confirmado","",IF(AG165="CO/SO₂ simultáneos",IF(OR(COUNTIFS($E$2:$E$201,E165,$AH$2:$AH$201,"Confirmado",$AG$2:$AG$201,"CO/SO₂ simultáneos")&gt;3,SUMIFS($J$2:$J$201,$E$2:$E$201,E165,$AH$2:$AH$201,"Confirmado",$AG$2:$AG$201,"CO/SO₂ simultáneos")&gt;6),"CAPACIDAD EXCEDIDA","OK"),IF(OR(SUMIFS($F$2:$F$201,$E$2:$E$201,E165,$AH$2:$AH$201,"Confirmado")&gt;4,SUMIFS($G$2:$G$201,$E$2:$E$201,E165,$AH$2:$AH$201,"Confirmado")&gt;4,SUMIFS($H$2:$H$201,$E$2:$E$201,E165,$AH$2:$AH$201,"Confirmado")&gt;4,SUMIFS($I$2:$I$201,$E$2:$E$201,E165,$AH$2:$AH$201,"Confirmado")&gt;4),"CAPACIDAD EXCEDIDA","OK"))))</f>
        <v/>
      </c>
      <c r="AN165" s="2" t="str">
        <f aca="true">IF(A165="","",IF(AND(AC165&lt;1,Q165&lt;TODAY(),AH165="Aceptado pendiente de pago/orden"),"PLAZO VENCIDO",IF(AND(AC165&lt;1,AD165&lt;&gt;"",AD165&lt;TODAY()),"VENCIDO","OK")))</f>
        <v/>
      </c>
      <c r="AO165" s="6"/>
      <c r="AP165" s="8"/>
      <c r="AQ165" s="6"/>
      <c r="AR165" s="6" t="s">
        <v>73</v>
      </c>
      <c r="AS165" s="6"/>
      <c r="AT165" s="6"/>
      <c r="AU165" s="6"/>
      <c r="AV165" s="6"/>
      <c r="AW165" s="8" t="str">
        <f aca="false">IF(AV165="","",AV165+60)</f>
        <v/>
      </c>
      <c r="AX165" s="11" t="str">
        <f aca="true">IF(A165="","",IF(AND(AV165&lt;&gt;"",AW165&lt;TODAY(),OR(AH165="Interés",AH165="Cotizado")),"Sí","No"))</f>
        <v/>
      </c>
      <c r="AY165" s="6"/>
      <c r="AZ165" s="6"/>
      <c r="BA165" s="6"/>
      <c r="BB165" s="6"/>
      <c r="BC165" s="4"/>
      <c r="BD165" s="12"/>
    </row>
    <row r="166" customFormat="false" ht="23.8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2" t="n">
        <f aca="false">SUM(F166:I166)</f>
        <v>0</v>
      </c>
      <c r="K166" s="6"/>
      <c r="L166" s="6"/>
      <c r="M166" s="7"/>
      <c r="N166" s="7"/>
      <c r="O166" s="8"/>
      <c r="P166" s="8"/>
      <c r="Q166" s="8"/>
      <c r="R166" s="8"/>
      <c r="S166" s="8"/>
      <c r="T166" s="6"/>
      <c r="U166" s="6"/>
      <c r="V166" s="6"/>
      <c r="W166" s="6"/>
      <c r="X166" s="8"/>
      <c r="Y166" s="6"/>
      <c r="Z166" s="6"/>
      <c r="AA166" s="7"/>
      <c r="AB166" s="9" t="str">
        <f aca="false">IF(N166="","",MAX(0,N166-AA166))</f>
        <v/>
      </c>
      <c r="AC166" s="10" t="str">
        <f aca="false">IF(N166="","",IF(N166=0,0,AA166/N166))</f>
        <v/>
      </c>
      <c r="AD166" s="8"/>
      <c r="AE166" s="6"/>
      <c r="AF166" s="6"/>
      <c r="AG166" s="6"/>
      <c r="AH166" s="6"/>
      <c r="AI166" s="2" t="str">
        <f aca="false">IF(A166="","",IF(V166="Yes",IF(U166="Yes",1,2),""))</f>
        <v/>
      </c>
      <c r="AJ166" s="8"/>
      <c r="AK166" s="2" t="str">
        <f aca="false">IF(A166="","",IF(AJ166="","",COUNTIFS($E$2:$E$201,E166,$AI$2:$AI$201,AI166,$AJ$2:$AJ$201,"&lt;="&amp;AJ166)))</f>
        <v/>
      </c>
      <c r="AL166" s="2" t="str">
        <f aca="false">IF(A166="","",IF(AH166&lt;&gt;"Confirmado","No",IF(AG166="CO/SO₂ simultáneos",IF(OR(COUNTIFS($E$2:$E$201,E166,$AH$2:$AH$201,"Confirmado",$AG$2:$AG$201,"CO/SO₂ simultáneos")=3,SUMIFS($J$2:$J$201,$E$2:$E$201,E166,$AH$2:$AH$201,"Confirmado",$AG$2:$AG$201,"CO/SO₂ simultáneos")=6),"Sí","No"),IF(OR(AND(F166&gt;0,SUMIFS($F$2:$F$201,$E$2:$E$201,E166,$AH$2:$AH$201,"Confirmado")=4),AND(G166&gt;0,SUMIFS($G$2:$G$201,$E$2:$E$201,E166,$AH$2:$AH$201,"Confirmado")=4),AND(H166&gt;0,SUMIFS($H$2:$H$201,$E$2:$E$201,E166,$AH$2:$AH$201,"Confirmado")=4),AND(I166&gt;0,SUMIFS($I$2:$I$201,$E$2:$E$201,E166,$AH$2:$AH$201,"Confirmado")=4)),"Sí","No"))))</f>
        <v/>
      </c>
      <c r="AM166" s="2" t="str">
        <f aca="false">IF(A166="","",IF(AH166&lt;&gt;"Confirmado","",IF(AG166="CO/SO₂ simultáneos",IF(OR(COUNTIFS($E$2:$E$201,E166,$AH$2:$AH$201,"Confirmado",$AG$2:$AG$201,"CO/SO₂ simultáneos")&gt;3,SUMIFS($J$2:$J$201,$E$2:$E$201,E166,$AH$2:$AH$201,"Confirmado",$AG$2:$AG$201,"CO/SO₂ simultáneos")&gt;6),"CAPACIDAD EXCEDIDA","OK"),IF(OR(SUMIFS($F$2:$F$201,$E$2:$E$201,E166,$AH$2:$AH$201,"Confirmado")&gt;4,SUMIFS($G$2:$G$201,$E$2:$E$201,E166,$AH$2:$AH$201,"Confirmado")&gt;4,SUMIFS($H$2:$H$201,$E$2:$E$201,E166,$AH$2:$AH$201,"Confirmado")&gt;4,SUMIFS($I$2:$I$201,$E$2:$E$201,E166,$AH$2:$AH$201,"Confirmado")&gt;4),"CAPACIDAD EXCEDIDA","OK"))))</f>
        <v/>
      </c>
      <c r="AN166" s="2" t="str">
        <f aca="true">IF(A166="","",IF(AND(AC166&lt;1,Q166&lt;TODAY(),AH166="Aceptado pendiente de pago/orden"),"PLAZO VENCIDO",IF(AND(AC166&lt;1,AD166&lt;&gt;"",AD166&lt;TODAY()),"VENCIDO","OK")))</f>
        <v/>
      </c>
      <c r="AO166" s="6"/>
      <c r="AP166" s="8"/>
      <c r="AQ166" s="6"/>
      <c r="AR166" s="6" t="s">
        <v>73</v>
      </c>
      <c r="AS166" s="6"/>
      <c r="AT166" s="6"/>
      <c r="AU166" s="6"/>
      <c r="AV166" s="6"/>
      <c r="AW166" s="8" t="str">
        <f aca="false">IF(AV166="","",AV166+60)</f>
        <v/>
      </c>
      <c r="AX166" s="11" t="str">
        <f aca="true">IF(A166="","",IF(AND(AV166&lt;&gt;"",AW166&lt;TODAY(),OR(AH166="Interés",AH166="Cotizado")),"Sí","No"))</f>
        <v/>
      </c>
      <c r="AY166" s="6"/>
      <c r="AZ166" s="6"/>
      <c r="BA166" s="6"/>
      <c r="BB166" s="6"/>
      <c r="BC166" s="4"/>
      <c r="BD166" s="12"/>
    </row>
    <row r="167" customFormat="false" ht="23.8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2" t="n">
        <f aca="false">SUM(F167:I167)</f>
        <v>0</v>
      </c>
      <c r="K167" s="6"/>
      <c r="L167" s="6"/>
      <c r="M167" s="7"/>
      <c r="N167" s="7"/>
      <c r="O167" s="8"/>
      <c r="P167" s="8"/>
      <c r="Q167" s="8"/>
      <c r="R167" s="8"/>
      <c r="S167" s="8"/>
      <c r="T167" s="6"/>
      <c r="U167" s="6"/>
      <c r="V167" s="6"/>
      <c r="W167" s="6"/>
      <c r="X167" s="8"/>
      <c r="Y167" s="6"/>
      <c r="Z167" s="6"/>
      <c r="AA167" s="7"/>
      <c r="AB167" s="9" t="str">
        <f aca="false">IF(N167="","",MAX(0,N167-AA167))</f>
        <v/>
      </c>
      <c r="AC167" s="10" t="str">
        <f aca="false">IF(N167="","",IF(N167=0,0,AA167/N167))</f>
        <v/>
      </c>
      <c r="AD167" s="8"/>
      <c r="AE167" s="6"/>
      <c r="AF167" s="6"/>
      <c r="AG167" s="6"/>
      <c r="AH167" s="6"/>
      <c r="AI167" s="2" t="str">
        <f aca="false">IF(A167="","",IF(V167="Yes",IF(U167="Yes",1,2),""))</f>
        <v/>
      </c>
      <c r="AJ167" s="8"/>
      <c r="AK167" s="2" t="str">
        <f aca="false">IF(A167="","",IF(AJ167="","",COUNTIFS($E$2:$E$201,E167,$AI$2:$AI$201,AI167,$AJ$2:$AJ$201,"&lt;="&amp;AJ167)))</f>
        <v/>
      </c>
      <c r="AL167" s="2" t="str">
        <f aca="false">IF(A167="","",IF(AH167&lt;&gt;"Confirmado","No",IF(AG167="CO/SO₂ simultáneos",IF(OR(COUNTIFS($E$2:$E$201,E167,$AH$2:$AH$201,"Confirmado",$AG$2:$AG$201,"CO/SO₂ simultáneos")=3,SUMIFS($J$2:$J$201,$E$2:$E$201,E167,$AH$2:$AH$201,"Confirmado",$AG$2:$AG$201,"CO/SO₂ simultáneos")=6),"Sí","No"),IF(OR(AND(F167&gt;0,SUMIFS($F$2:$F$201,$E$2:$E$201,E167,$AH$2:$AH$201,"Confirmado")=4),AND(G167&gt;0,SUMIFS($G$2:$G$201,$E$2:$E$201,E167,$AH$2:$AH$201,"Confirmado")=4),AND(H167&gt;0,SUMIFS($H$2:$H$201,$E$2:$E$201,E167,$AH$2:$AH$201,"Confirmado")=4),AND(I167&gt;0,SUMIFS($I$2:$I$201,$E$2:$E$201,E167,$AH$2:$AH$201,"Confirmado")=4)),"Sí","No"))))</f>
        <v/>
      </c>
      <c r="AM167" s="2" t="str">
        <f aca="false">IF(A167="","",IF(AH167&lt;&gt;"Confirmado","",IF(AG167="CO/SO₂ simultáneos",IF(OR(COUNTIFS($E$2:$E$201,E167,$AH$2:$AH$201,"Confirmado",$AG$2:$AG$201,"CO/SO₂ simultáneos")&gt;3,SUMIFS($J$2:$J$201,$E$2:$E$201,E167,$AH$2:$AH$201,"Confirmado",$AG$2:$AG$201,"CO/SO₂ simultáneos")&gt;6),"CAPACIDAD EXCEDIDA","OK"),IF(OR(SUMIFS($F$2:$F$201,$E$2:$E$201,E167,$AH$2:$AH$201,"Confirmado")&gt;4,SUMIFS($G$2:$G$201,$E$2:$E$201,E167,$AH$2:$AH$201,"Confirmado")&gt;4,SUMIFS($H$2:$H$201,$E$2:$E$201,E167,$AH$2:$AH$201,"Confirmado")&gt;4,SUMIFS($I$2:$I$201,$E$2:$E$201,E167,$AH$2:$AH$201,"Confirmado")&gt;4),"CAPACIDAD EXCEDIDA","OK"))))</f>
        <v/>
      </c>
      <c r="AN167" s="2" t="str">
        <f aca="true">IF(A167="","",IF(AND(AC167&lt;1,Q167&lt;TODAY(),AH167="Aceptado pendiente de pago/orden"),"PLAZO VENCIDO",IF(AND(AC167&lt;1,AD167&lt;&gt;"",AD167&lt;TODAY()),"VENCIDO","OK")))</f>
        <v/>
      </c>
      <c r="AO167" s="6"/>
      <c r="AP167" s="8"/>
      <c r="AQ167" s="6"/>
      <c r="AR167" s="6" t="s">
        <v>73</v>
      </c>
      <c r="AS167" s="6"/>
      <c r="AT167" s="6"/>
      <c r="AU167" s="6"/>
      <c r="AV167" s="6"/>
      <c r="AW167" s="8" t="str">
        <f aca="false">IF(AV167="","",AV167+60)</f>
        <v/>
      </c>
      <c r="AX167" s="11" t="str">
        <f aca="true">IF(A167="","",IF(AND(AV167&lt;&gt;"",AW167&lt;TODAY(),OR(AH167="Interés",AH167="Cotizado")),"Sí","No"))</f>
        <v/>
      </c>
      <c r="AY167" s="6"/>
      <c r="AZ167" s="6"/>
      <c r="BA167" s="6"/>
      <c r="BB167" s="6"/>
      <c r="BC167" s="4"/>
      <c r="BD167" s="12"/>
    </row>
    <row r="168" customFormat="false" ht="23.8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2" t="n">
        <f aca="false">SUM(F168:I168)</f>
        <v>0</v>
      </c>
      <c r="K168" s="6"/>
      <c r="L168" s="6"/>
      <c r="M168" s="7"/>
      <c r="N168" s="7"/>
      <c r="O168" s="8"/>
      <c r="P168" s="8"/>
      <c r="Q168" s="8"/>
      <c r="R168" s="8"/>
      <c r="S168" s="8"/>
      <c r="T168" s="6"/>
      <c r="U168" s="6"/>
      <c r="V168" s="6"/>
      <c r="W168" s="6"/>
      <c r="X168" s="8"/>
      <c r="Y168" s="6"/>
      <c r="Z168" s="6"/>
      <c r="AA168" s="7"/>
      <c r="AB168" s="9" t="str">
        <f aca="false">IF(N168="","",MAX(0,N168-AA168))</f>
        <v/>
      </c>
      <c r="AC168" s="10" t="str">
        <f aca="false">IF(N168="","",IF(N168=0,0,AA168/N168))</f>
        <v/>
      </c>
      <c r="AD168" s="8"/>
      <c r="AE168" s="6"/>
      <c r="AF168" s="6"/>
      <c r="AG168" s="6"/>
      <c r="AH168" s="6"/>
      <c r="AI168" s="2" t="str">
        <f aca="false">IF(A168="","",IF(V168="Yes",IF(U168="Yes",1,2),""))</f>
        <v/>
      </c>
      <c r="AJ168" s="8"/>
      <c r="AK168" s="2" t="str">
        <f aca="false">IF(A168="","",IF(AJ168="","",COUNTIFS($E$2:$E$201,E168,$AI$2:$AI$201,AI168,$AJ$2:$AJ$201,"&lt;="&amp;AJ168)))</f>
        <v/>
      </c>
      <c r="AL168" s="2" t="str">
        <f aca="false">IF(A168="","",IF(AH168&lt;&gt;"Confirmado","No",IF(AG168="CO/SO₂ simultáneos",IF(OR(COUNTIFS($E$2:$E$201,E168,$AH$2:$AH$201,"Confirmado",$AG$2:$AG$201,"CO/SO₂ simultáneos")=3,SUMIFS($J$2:$J$201,$E$2:$E$201,E168,$AH$2:$AH$201,"Confirmado",$AG$2:$AG$201,"CO/SO₂ simultáneos")=6),"Sí","No"),IF(OR(AND(F168&gt;0,SUMIFS($F$2:$F$201,$E$2:$E$201,E168,$AH$2:$AH$201,"Confirmado")=4),AND(G168&gt;0,SUMIFS($G$2:$G$201,$E$2:$E$201,E168,$AH$2:$AH$201,"Confirmado")=4),AND(H168&gt;0,SUMIFS($H$2:$H$201,$E$2:$E$201,E168,$AH$2:$AH$201,"Confirmado")=4),AND(I168&gt;0,SUMIFS($I$2:$I$201,$E$2:$E$201,E168,$AH$2:$AH$201,"Confirmado")=4)),"Sí","No"))))</f>
        <v/>
      </c>
      <c r="AM168" s="2" t="str">
        <f aca="false">IF(A168="","",IF(AH168&lt;&gt;"Confirmado","",IF(AG168="CO/SO₂ simultáneos",IF(OR(COUNTIFS($E$2:$E$201,E168,$AH$2:$AH$201,"Confirmado",$AG$2:$AG$201,"CO/SO₂ simultáneos")&gt;3,SUMIFS($J$2:$J$201,$E$2:$E$201,E168,$AH$2:$AH$201,"Confirmado",$AG$2:$AG$201,"CO/SO₂ simultáneos")&gt;6),"CAPACIDAD EXCEDIDA","OK"),IF(OR(SUMIFS($F$2:$F$201,$E$2:$E$201,E168,$AH$2:$AH$201,"Confirmado")&gt;4,SUMIFS($G$2:$G$201,$E$2:$E$201,E168,$AH$2:$AH$201,"Confirmado")&gt;4,SUMIFS($H$2:$H$201,$E$2:$E$201,E168,$AH$2:$AH$201,"Confirmado")&gt;4,SUMIFS($I$2:$I$201,$E$2:$E$201,E168,$AH$2:$AH$201,"Confirmado")&gt;4),"CAPACIDAD EXCEDIDA","OK"))))</f>
        <v/>
      </c>
      <c r="AN168" s="2" t="str">
        <f aca="true">IF(A168="","",IF(AND(AC168&lt;1,Q168&lt;TODAY(),AH168="Aceptado pendiente de pago/orden"),"PLAZO VENCIDO",IF(AND(AC168&lt;1,AD168&lt;&gt;"",AD168&lt;TODAY()),"VENCIDO","OK")))</f>
        <v/>
      </c>
      <c r="AO168" s="6"/>
      <c r="AP168" s="8"/>
      <c r="AQ168" s="6"/>
      <c r="AR168" s="6" t="s">
        <v>73</v>
      </c>
      <c r="AS168" s="6"/>
      <c r="AT168" s="6"/>
      <c r="AU168" s="6"/>
      <c r="AV168" s="6"/>
      <c r="AW168" s="8" t="str">
        <f aca="false">IF(AV168="","",AV168+60)</f>
        <v/>
      </c>
      <c r="AX168" s="11" t="str">
        <f aca="true">IF(A168="","",IF(AND(AV168&lt;&gt;"",AW168&lt;TODAY(),OR(AH168="Interés",AH168="Cotizado")),"Sí","No"))</f>
        <v/>
      </c>
      <c r="AY168" s="6"/>
      <c r="AZ168" s="6"/>
      <c r="BA168" s="6"/>
      <c r="BB168" s="6"/>
      <c r="BC168" s="4"/>
      <c r="BD168" s="12"/>
    </row>
    <row r="169" customFormat="false" ht="23.8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2" t="n">
        <f aca="false">SUM(F169:I169)</f>
        <v>0</v>
      </c>
      <c r="K169" s="6"/>
      <c r="L169" s="6"/>
      <c r="M169" s="7"/>
      <c r="N169" s="7"/>
      <c r="O169" s="8"/>
      <c r="P169" s="8"/>
      <c r="Q169" s="8"/>
      <c r="R169" s="8"/>
      <c r="S169" s="8"/>
      <c r="T169" s="6"/>
      <c r="U169" s="6"/>
      <c r="V169" s="6"/>
      <c r="W169" s="6"/>
      <c r="X169" s="8"/>
      <c r="Y169" s="6"/>
      <c r="Z169" s="6"/>
      <c r="AA169" s="7"/>
      <c r="AB169" s="9" t="str">
        <f aca="false">IF(N169="","",MAX(0,N169-AA169))</f>
        <v/>
      </c>
      <c r="AC169" s="10" t="str">
        <f aca="false">IF(N169="","",IF(N169=0,0,AA169/N169))</f>
        <v/>
      </c>
      <c r="AD169" s="8"/>
      <c r="AE169" s="6"/>
      <c r="AF169" s="6"/>
      <c r="AG169" s="6"/>
      <c r="AH169" s="6"/>
      <c r="AI169" s="2" t="str">
        <f aca="false">IF(A169="","",IF(V169="Yes",IF(U169="Yes",1,2),""))</f>
        <v/>
      </c>
      <c r="AJ169" s="8"/>
      <c r="AK169" s="2" t="str">
        <f aca="false">IF(A169="","",IF(AJ169="","",COUNTIFS($E$2:$E$201,E169,$AI$2:$AI$201,AI169,$AJ$2:$AJ$201,"&lt;="&amp;AJ169)))</f>
        <v/>
      </c>
      <c r="AL169" s="2" t="str">
        <f aca="false">IF(A169="","",IF(AH169&lt;&gt;"Confirmado","No",IF(AG169="CO/SO₂ simultáneos",IF(OR(COUNTIFS($E$2:$E$201,E169,$AH$2:$AH$201,"Confirmado",$AG$2:$AG$201,"CO/SO₂ simultáneos")=3,SUMIFS($J$2:$J$201,$E$2:$E$201,E169,$AH$2:$AH$201,"Confirmado",$AG$2:$AG$201,"CO/SO₂ simultáneos")=6),"Sí","No"),IF(OR(AND(F169&gt;0,SUMIFS($F$2:$F$201,$E$2:$E$201,E169,$AH$2:$AH$201,"Confirmado")=4),AND(G169&gt;0,SUMIFS($G$2:$G$201,$E$2:$E$201,E169,$AH$2:$AH$201,"Confirmado")=4),AND(H169&gt;0,SUMIFS($H$2:$H$201,$E$2:$E$201,E169,$AH$2:$AH$201,"Confirmado")=4),AND(I169&gt;0,SUMIFS($I$2:$I$201,$E$2:$E$201,E169,$AH$2:$AH$201,"Confirmado")=4)),"Sí","No"))))</f>
        <v/>
      </c>
      <c r="AM169" s="2" t="str">
        <f aca="false">IF(A169="","",IF(AH169&lt;&gt;"Confirmado","",IF(AG169="CO/SO₂ simultáneos",IF(OR(COUNTIFS($E$2:$E$201,E169,$AH$2:$AH$201,"Confirmado",$AG$2:$AG$201,"CO/SO₂ simultáneos")&gt;3,SUMIFS($J$2:$J$201,$E$2:$E$201,E169,$AH$2:$AH$201,"Confirmado",$AG$2:$AG$201,"CO/SO₂ simultáneos")&gt;6),"CAPACIDAD EXCEDIDA","OK"),IF(OR(SUMIFS($F$2:$F$201,$E$2:$E$201,E169,$AH$2:$AH$201,"Confirmado")&gt;4,SUMIFS($G$2:$G$201,$E$2:$E$201,E169,$AH$2:$AH$201,"Confirmado")&gt;4,SUMIFS($H$2:$H$201,$E$2:$E$201,E169,$AH$2:$AH$201,"Confirmado")&gt;4,SUMIFS($I$2:$I$201,$E$2:$E$201,E169,$AH$2:$AH$201,"Confirmado")&gt;4),"CAPACIDAD EXCEDIDA","OK"))))</f>
        <v/>
      </c>
      <c r="AN169" s="2" t="str">
        <f aca="true">IF(A169="","",IF(AND(AC169&lt;1,Q169&lt;TODAY(),AH169="Aceptado pendiente de pago/orden"),"PLAZO VENCIDO",IF(AND(AC169&lt;1,AD169&lt;&gt;"",AD169&lt;TODAY()),"VENCIDO","OK")))</f>
        <v/>
      </c>
      <c r="AO169" s="6"/>
      <c r="AP169" s="8"/>
      <c r="AQ169" s="6"/>
      <c r="AR169" s="6" t="s">
        <v>73</v>
      </c>
      <c r="AS169" s="6"/>
      <c r="AT169" s="6"/>
      <c r="AU169" s="6"/>
      <c r="AV169" s="6"/>
      <c r="AW169" s="8" t="str">
        <f aca="false">IF(AV169="","",AV169+60)</f>
        <v/>
      </c>
      <c r="AX169" s="11" t="str">
        <f aca="true">IF(A169="","",IF(AND(AV169&lt;&gt;"",AW169&lt;TODAY(),OR(AH169="Interés",AH169="Cotizado")),"Sí","No"))</f>
        <v/>
      </c>
      <c r="AY169" s="6"/>
      <c r="AZ169" s="6"/>
      <c r="BA169" s="6"/>
      <c r="BB169" s="6"/>
      <c r="BC169" s="4"/>
      <c r="BD169" s="12"/>
    </row>
    <row r="170" customFormat="false" ht="23.8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2" t="n">
        <f aca="false">SUM(F170:I170)</f>
        <v>0</v>
      </c>
      <c r="K170" s="6"/>
      <c r="L170" s="6"/>
      <c r="M170" s="7"/>
      <c r="N170" s="7"/>
      <c r="O170" s="8"/>
      <c r="P170" s="8"/>
      <c r="Q170" s="8"/>
      <c r="R170" s="8"/>
      <c r="S170" s="8"/>
      <c r="T170" s="6"/>
      <c r="U170" s="6"/>
      <c r="V170" s="6"/>
      <c r="W170" s="6"/>
      <c r="X170" s="8"/>
      <c r="Y170" s="6"/>
      <c r="Z170" s="6"/>
      <c r="AA170" s="7"/>
      <c r="AB170" s="9" t="str">
        <f aca="false">IF(N170="","",MAX(0,N170-AA170))</f>
        <v/>
      </c>
      <c r="AC170" s="10" t="str">
        <f aca="false">IF(N170="","",IF(N170=0,0,AA170/N170))</f>
        <v/>
      </c>
      <c r="AD170" s="8"/>
      <c r="AE170" s="6"/>
      <c r="AF170" s="6"/>
      <c r="AG170" s="6"/>
      <c r="AH170" s="6"/>
      <c r="AI170" s="2" t="str">
        <f aca="false">IF(A170="","",IF(V170="Yes",IF(U170="Yes",1,2),""))</f>
        <v/>
      </c>
      <c r="AJ170" s="8"/>
      <c r="AK170" s="2" t="str">
        <f aca="false">IF(A170="","",IF(AJ170="","",COUNTIFS($E$2:$E$201,E170,$AI$2:$AI$201,AI170,$AJ$2:$AJ$201,"&lt;="&amp;AJ170)))</f>
        <v/>
      </c>
      <c r="AL170" s="2" t="str">
        <f aca="false">IF(A170="","",IF(AH170&lt;&gt;"Confirmado","No",IF(AG170="CO/SO₂ simultáneos",IF(OR(COUNTIFS($E$2:$E$201,E170,$AH$2:$AH$201,"Confirmado",$AG$2:$AG$201,"CO/SO₂ simultáneos")=3,SUMIFS($J$2:$J$201,$E$2:$E$201,E170,$AH$2:$AH$201,"Confirmado",$AG$2:$AG$201,"CO/SO₂ simultáneos")=6),"Sí","No"),IF(OR(AND(F170&gt;0,SUMIFS($F$2:$F$201,$E$2:$E$201,E170,$AH$2:$AH$201,"Confirmado")=4),AND(G170&gt;0,SUMIFS($G$2:$G$201,$E$2:$E$201,E170,$AH$2:$AH$201,"Confirmado")=4),AND(H170&gt;0,SUMIFS($H$2:$H$201,$E$2:$E$201,E170,$AH$2:$AH$201,"Confirmado")=4),AND(I170&gt;0,SUMIFS($I$2:$I$201,$E$2:$E$201,E170,$AH$2:$AH$201,"Confirmado")=4)),"Sí","No"))))</f>
        <v/>
      </c>
      <c r="AM170" s="2" t="str">
        <f aca="false">IF(A170="","",IF(AH170&lt;&gt;"Confirmado","",IF(AG170="CO/SO₂ simultáneos",IF(OR(COUNTIFS($E$2:$E$201,E170,$AH$2:$AH$201,"Confirmado",$AG$2:$AG$201,"CO/SO₂ simultáneos")&gt;3,SUMIFS($J$2:$J$201,$E$2:$E$201,E170,$AH$2:$AH$201,"Confirmado",$AG$2:$AG$201,"CO/SO₂ simultáneos")&gt;6),"CAPACIDAD EXCEDIDA","OK"),IF(OR(SUMIFS($F$2:$F$201,$E$2:$E$201,E170,$AH$2:$AH$201,"Confirmado")&gt;4,SUMIFS($G$2:$G$201,$E$2:$E$201,E170,$AH$2:$AH$201,"Confirmado")&gt;4,SUMIFS($H$2:$H$201,$E$2:$E$201,E170,$AH$2:$AH$201,"Confirmado")&gt;4,SUMIFS($I$2:$I$201,$E$2:$E$201,E170,$AH$2:$AH$201,"Confirmado")&gt;4),"CAPACIDAD EXCEDIDA","OK"))))</f>
        <v/>
      </c>
      <c r="AN170" s="2" t="str">
        <f aca="true">IF(A170="","",IF(AND(AC170&lt;1,Q170&lt;TODAY(),AH170="Aceptado pendiente de pago/orden"),"PLAZO VENCIDO",IF(AND(AC170&lt;1,AD170&lt;&gt;"",AD170&lt;TODAY()),"VENCIDO","OK")))</f>
        <v/>
      </c>
      <c r="AO170" s="6"/>
      <c r="AP170" s="8"/>
      <c r="AQ170" s="6"/>
      <c r="AR170" s="6" t="s">
        <v>73</v>
      </c>
      <c r="AS170" s="6"/>
      <c r="AT170" s="6"/>
      <c r="AU170" s="6"/>
      <c r="AV170" s="6"/>
      <c r="AW170" s="8" t="str">
        <f aca="false">IF(AV170="","",AV170+60)</f>
        <v/>
      </c>
      <c r="AX170" s="11" t="str">
        <f aca="true">IF(A170="","",IF(AND(AV170&lt;&gt;"",AW170&lt;TODAY(),OR(AH170="Interés",AH170="Cotizado")),"Sí","No"))</f>
        <v/>
      </c>
      <c r="AY170" s="6"/>
      <c r="AZ170" s="6"/>
      <c r="BA170" s="6"/>
      <c r="BB170" s="6"/>
      <c r="BC170" s="4"/>
      <c r="BD170" s="12"/>
    </row>
    <row r="171" customFormat="false" ht="23.8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2" t="n">
        <f aca="false">SUM(F171:I171)</f>
        <v>0</v>
      </c>
      <c r="K171" s="6"/>
      <c r="L171" s="6"/>
      <c r="M171" s="7"/>
      <c r="N171" s="7"/>
      <c r="O171" s="8"/>
      <c r="P171" s="8"/>
      <c r="Q171" s="8"/>
      <c r="R171" s="8"/>
      <c r="S171" s="8"/>
      <c r="T171" s="6"/>
      <c r="U171" s="6"/>
      <c r="V171" s="6"/>
      <c r="W171" s="6"/>
      <c r="X171" s="8"/>
      <c r="Y171" s="6"/>
      <c r="Z171" s="6"/>
      <c r="AA171" s="7"/>
      <c r="AB171" s="9" t="str">
        <f aca="false">IF(N171="","",MAX(0,N171-AA171))</f>
        <v/>
      </c>
      <c r="AC171" s="10" t="str">
        <f aca="false">IF(N171="","",IF(N171=0,0,AA171/N171))</f>
        <v/>
      </c>
      <c r="AD171" s="8"/>
      <c r="AE171" s="6"/>
      <c r="AF171" s="6"/>
      <c r="AG171" s="6"/>
      <c r="AH171" s="6"/>
      <c r="AI171" s="2" t="str">
        <f aca="false">IF(A171="","",IF(V171="Yes",IF(U171="Yes",1,2),""))</f>
        <v/>
      </c>
      <c r="AJ171" s="8"/>
      <c r="AK171" s="2" t="str">
        <f aca="false">IF(A171="","",IF(AJ171="","",COUNTIFS($E$2:$E$201,E171,$AI$2:$AI$201,AI171,$AJ$2:$AJ$201,"&lt;="&amp;AJ171)))</f>
        <v/>
      </c>
      <c r="AL171" s="2" t="str">
        <f aca="false">IF(A171="","",IF(AH171&lt;&gt;"Confirmado","No",IF(AG171="CO/SO₂ simultáneos",IF(OR(COUNTIFS($E$2:$E$201,E171,$AH$2:$AH$201,"Confirmado",$AG$2:$AG$201,"CO/SO₂ simultáneos")=3,SUMIFS($J$2:$J$201,$E$2:$E$201,E171,$AH$2:$AH$201,"Confirmado",$AG$2:$AG$201,"CO/SO₂ simultáneos")=6),"Sí","No"),IF(OR(AND(F171&gt;0,SUMIFS($F$2:$F$201,$E$2:$E$201,E171,$AH$2:$AH$201,"Confirmado")=4),AND(G171&gt;0,SUMIFS($G$2:$G$201,$E$2:$E$201,E171,$AH$2:$AH$201,"Confirmado")=4),AND(H171&gt;0,SUMIFS($H$2:$H$201,$E$2:$E$201,E171,$AH$2:$AH$201,"Confirmado")=4),AND(I171&gt;0,SUMIFS($I$2:$I$201,$E$2:$E$201,E171,$AH$2:$AH$201,"Confirmado")=4)),"Sí","No"))))</f>
        <v/>
      </c>
      <c r="AM171" s="2" t="str">
        <f aca="false">IF(A171="","",IF(AH171&lt;&gt;"Confirmado","",IF(AG171="CO/SO₂ simultáneos",IF(OR(COUNTIFS($E$2:$E$201,E171,$AH$2:$AH$201,"Confirmado",$AG$2:$AG$201,"CO/SO₂ simultáneos")&gt;3,SUMIFS($J$2:$J$201,$E$2:$E$201,E171,$AH$2:$AH$201,"Confirmado",$AG$2:$AG$201,"CO/SO₂ simultáneos")&gt;6),"CAPACIDAD EXCEDIDA","OK"),IF(OR(SUMIFS($F$2:$F$201,$E$2:$E$201,E171,$AH$2:$AH$201,"Confirmado")&gt;4,SUMIFS($G$2:$G$201,$E$2:$E$201,E171,$AH$2:$AH$201,"Confirmado")&gt;4,SUMIFS($H$2:$H$201,$E$2:$E$201,E171,$AH$2:$AH$201,"Confirmado")&gt;4,SUMIFS($I$2:$I$201,$E$2:$E$201,E171,$AH$2:$AH$201,"Confirmado")&gt;4),"CAPACIDAD EXCEDIDA","OK"))))</f>
        <v/>
      </c>
      <c r="AN171" s="2" t="str">
        <f aca="true">IF(A171="","",IF(AND(AC171&lt;1,Q171&lt;TODAY(),AH171="Aceptado pendiente de pago/orden"),"PLAZO VENCIDO",IF(AND(AC171&lt;1,AD171&lt;&gt;"",AD171&lt;TODAY()),"VENCIDO","OK")))</f>
        <v/>
      </c>
      <c r="AO171" s="6"/>
      <c r="AP171" s="8"/>
      <c r="AQ171" s="6"/>
      <c r="AR171" s="6" t="s">
        <v>73</v>
      </c>
      <c r="AS171" s="6"/>
      <c r="AT171" s="6"/>
      <c r="AU171" s="6"/>
      <c r="AV171" s="6"/>
      <c r="AW171" s="8" t="str">
        <f aca="false">IF(AV171="","",AV171+60)</f>
        <v/>
      </c>
      <c r="AX171" s="11" t="str">
        <f aca="true">IF(A171="","",IF(AND(AV171&lt;&gt;"",AW171&lt;TODAY(),OR(AH171="Interés",AH171="Cotizado")),"Sí","No"))</f>
        <v/>
      </c>
      <c r="AY171" s="6"/>
      <c r="AZ171" s="6"/>
      <c r="BA171" s="6"/>
      <c r="BB171" s="6"/>
      <c r="BC171" s="4"/>
      <c r="BD171" s="12"/>
    </row>
    <row r="172" customFormat="false" ht="23.8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2" t="n">
        <f aca="false">SUM(F172:I172)</f>
        <v>0</v>
      </c>
      <c r="K172" s="6"/>
      <c r="L172" s="6"/>
      <c r="M172" s="7"/>
      <c r="N172" s="7"/>
      <c r="O172" s="8"/>
      <c r="P172" s="8"/>
      <c r="Q172" s="8"/>
      <c r="R172" s="8"/>
      <c r="S172" s="8"/>
      <c r="T172" s="6"/>
      <c r="U172" s="6"/>
      <c r="V172" s="6"/>
      <c r="W172" s="6"/>
      <c r="X172" s="8"/>
      <c r="Y172" s="6"/>
      <c r="Z172" s="6"/>
      <c r="AA172" s="7"/>
      <c r="AB172" s="9" t="str">
        <f aca="false">IF(N172="","",MAX(0,N172-AA172))</f>
        <v/>
      </c>
      <c r="AC172" s="10" t="str">
        <f aca="false">IF(N172="","",IF(N172=0,0,AA172/N172))</f>
        <v/>
      </c>
      <c r="AD172" s="8"/>
      <c r="AE172" s="6"/>
      <c r="AF172" s="6"/>
      <c r="AG172" s="6"/>
      <c r="AH172" s="6"/>
      <c r="AI172" s="2" t="str">
        <f aca="false">IF(A172="","",IF(V172="Yes",IF(U172="Yes",1,2),""))</f>
        <v/>
      </c>
      <c r="AJ172" s="8"/>
      <c r="AK172" s="2" t="str">
        <f aca="false">IF(A172="","",IF(AJ172="","",COUNTIFS($E$2:$E$201,E172,$AI$2:$AI$201,AI172,$AJ$2:$AJ$201,"&lt;="&amp;AJ172)))</f>
        <v/>
      </c>
      <c r="AL172" s="2" t="str">
        <f aca="false">IF(A172="","",IF(AH172&lt;&gt;"Confirmado","No",IF(AG172="CO/SO₂ simultáneos",IF(OR(COUNTIFS($E$2:$E$201,E172,$AH$2:$AH$201,"Confirmado",$AG$2:$AG$201,"CO/SO₂ simultáneos")=3,SUMIFS($J$2:$J$201,$E$2:$E$201,E172,$AH$2:$AH$201,"Confirmado",$AG$2:$AG$201,"CO/SO₂ simultáneos")=6),"Sí","No"),IF(OR(AND(F172&gt;0,SUMIFS($F$2:$F$201,$E$2:$E$201,E172,$AH$2:$AH$201,"Confirmado")=4),AND(G172&gt;0,SUMIFS($G$2:$G$201,$E$2:$E$201,E172,$AH$2:$AH$201,"Confirmado")=4),AND(H172&gt;0,SUMIFS($H$2:$H$201,$E$2:$E$201,E172,$AH$2:$AH$201,"Confirmado")=4),AND(I172&gt;0,SUMIFS($I$2:$I$201,$E$2:$E$201,E172,$AH$2:$AH$201,"Confirmado")=4)),"Sí","No"))))</f>
        <v/>
      </c>
      <c r="AM172" s="2" t="str">
        <f aca="false">IF(A172="","",IF(AH172&lt;&gt;"Confirmado","",IF(AG172="CO/SO₂ simultáneos",IF(OR(COUNTIFS($E$2:$E$201,E172,$AH$2:$AH$201,"Confirmado",$AG$2:$AG$201,"CO/SO₂ simultáneos")&gt;3,SUMIFS($J$2:$J$201,$E$2:$E$201,E172,$AH$2:$AH$201,"Confirmado",$AG$2:$AG$201,"CO/SO₂ simultáneos")&gt;6),"CAPACIDAD EXCEDIDA","OK"),IF(OR(SUMIFS($F$2:$F$201,$E$2:$E$201,E172,$AH$2:$AH$201,"Confirmado")&gt;4,SUMIFS($G$2:$G$201,$E$2:$E$201,E172,$AH$2:$AH$201,"Confirmado")&gt;4,SUMIFS($H$2:$H$201,$E$2:$E$201,E172,$AH$2:$AH$201,"Confirmado")&gt;4,SUMIFS($I$2:$I$201,$E$2:$E$201,E172,$AH$2:$AH$201,"Confirmado")&gt;4),"CAPACIDAD EXCEDIDA","OK"))))</f>
        <v/>
      </c>
      <c r="AN172" s="2" t="str">
        <f aca="true">IF(A172="","",IF(AND(AC172&lt;1,Q172&lt;TODAY(),AH172="Aceptado pendiente de pago/orden"),"PLAZO VENCIDO",IF(AND(AC172&lt;1,AD172&lt;&gt;"",AD172&lt;TODAY()),"VENCIDO","OK")))</f>
        <v/>
      </c>
      <c r="AO172" s="6"/>
      <c r="AP172" s="8"/>
      <c r="AQ172" s="6"/>
      <c r="AR172" s="6" t="s">
        <v>73</v>
      </c>
      <c r="AS172" s="6"/>
      <c r="AT172" s="6"/>
      <c r="AU172" s="6"/>
      <c r="AV172" s="6"/>
      <c r="AW172" s="8" t="str">
        <f aca="false">IF(AV172="","",AV172+60)</f>
        <v/>
      </c>
      <c r="AX172" s="11" t="str">
        <f aca="true">IF(A172="","",IF(AND(AV172&lt;&gt;"",AW172&lt;TODAY(),OR(AH172="Interés",AH172="Cotizado")),"Sí","No"))</f>
        <v/>
      </c>
      <c r="AY172" s="6"/>
      <c r="AZ172" s="6"/>
      <c r="BA172" s="6"/>
      <c r="BB172" s="6"/>
      <c r="BC172" s="4"/>
      <c r="BD172" s="12"/>
    </row>
    <row r="173" customFormat="false" ht="23.8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2" t="n">
        <f aca="false">SUM(F173:I173)</f>
        <v>0</v>
      </c>
      <c r="K173" s="6"/>
      <c r="L173" s="6"/>
      <c r="M173" s="7"/>
      <c r="N173" s="7"/>
      <c r="O173" s="8"/>
      <c r="P173" s="8"/>
      <c r="Q173" s="8"/>
      <c r="R173" s="8"/>
      <c r="S173" s="8"/>
      <c r="T173" s="6"/>
      <c r="U173" s="6"/>
      <c r="V173" s="6"/>
      <c r="W173" s="6"/>
      <c r="X173" s="8"/>
      <c r="Y173" s="6"/>
      <c r="Z173" s="6"/>
      <c r="AA173" s="7"/>
      <c r="AB173" s="9" t="str">
        <f aca="false">IF(N173="","",MAX(0,N173-AA173))</f>
        <v/>
      </c>
      <c r="AC173" s="10" t="str">
        <f aca="false">IF(N173="","",IF(N173=0,0,AA173/N173))</f>
        <v/>
      </c>
      <c r="AD173" s="8"/>
      <c r="AE173" s="6"/>
      <c r="AF173" s="6"/>
      <c r="AG173" s="6"/>
      <c r="AH173" s="6"/>
      <c r="AI173" s="2" t="str">
        <f aca="false">IF(A173="","",IF(V173="Yes",IF(U173="Yes",1,2),""))</f>
        <v/>
      </c>
      <c r="AJ173" s="8"/>
      <c r="AK173" s="2" t="str">
        <f aca="false">IF(A173="","",IF(AJ173="","",COUNTIFS($E$2:$E$201,E173,$AI$2:$AI$201,AI173,$AJ$2:$AJ$201,"&lt;="&amp;AJ173)))</f>
        <v/>
      </c>
      <c r="AL173" s="2" t="str">
        <f aca="false">IF(A173="","",IF(AH173&lt;&gt;"Confirmado","No",IF(AG173="CO/SO₂ simultáneos",IF(OR(COUNTIFS($E$2:$E$201,E173,$AH$2:$AH$201,"Confirmado",$AG$2:$AG$201,"CO/SO₂ simultáneos")=3,SUMIFS($J$2:$J$201,$E$2:$E$201,E173,$AH$2:$AH$201,"Confirmado",$AG$2:$AG$201,"CO/SO₂ simultáneos")=6),"Sí","No"),IF(OR(AND(F173&gt;0,SUMIFS($F$2:$F$201,$E$2:$E$201,E173,$AH$2:$AH$201,"Confirmado")=4),AND(G173&gt;0,SUMIFS($G$2:$G$201,$E$2:$E$201,E173,$AH$2:$AH$201,"Confirmado")=4),AND(H173&gt;0,SUMIFS($H$2:$H$201,$E$2:$E$201,E173,$AH$2:$AH$201,"Confirmado")=4),AND(I173&gt;0,SUMIFS($I$2:$I$201,$E$2:$E$201,E173,$AH$2:$AH$201,"Confirmado")=4)),"Sí","No"))))</f>
        <v/>
      </c>
      <c r="AM173" s="2" t="str">
        <f aca="false">IF(A173="","",IF(AH173&lt;&gt;"Confirmado","",IF(AG173="CO/SO₂ simultáneos",IF(OR(COUNTIFS($E$2:$E$201,E173,$AH$2:$AH$201,"Confirmado",$AG$2:$AG$201,"CO/SO₂ simultáneos")&gt;3,SUMIFS($J$2:$J$201,$E$2:$E$201,E173,$AH$2:$AH$201,"Confirmado",$AG$2:$AG$201,"CO/SO₂ simultáneos")&gt;6),"CAPACIDAD EXCEDIDA","OK"),IF(OR(SUMIFS($F$2:$F$201,$E$2:$E$201,E173,$AH$2:$AH$201,"Confirmado")&gt;4,SUMIFS($G$2:$G$201,$E$2:$E$201,E173,$AH$2:$AH$201,"Confirmado")&gt;4,SUMIFS($H$2:$H$201,$E$2:$E$201,E173,$AH$2:$AH$201,"Confirmado")&gt;4,SUMIFS($I$2:$I$201,$E$2:$E$201,E173,$AH$2:$AH$201,"Confirmado")&gt;4),"CAPACIDAD EXCEDIDA","OK"))))</f>
        <v/>
      </c>
      <c r="AN173" s="2" t="str">
        <f aca="true">IF(A173="","",IF(AND(AC173&lt;1,Q173&lt;TODAY(),AH173="Aceptado pendiente de pago/orden"),"PLAZO VENCIDO",IF(AND(AC173&lt;1,AD173&lt;&gt;"",AD173&lt;TODAY()),"VENCIDO","OK")))</f>
        <v/>
      </c>
      <c r="AO173" s="6"/>
      <c r="AP173" s="8"/>
      <c r="AQ173" s="6"/>
      <c r="AR173" s="6" t="s">
        <v>73</v>
      </c>
      <c r="AS173" s="6"/>
      <c r="AT173" s="6"/>
      <c r="AU173" s="6"/>
      <c r="AV173" s="6"/>
      <c r="AW173" s="8" t="str">
        <f aca="false">IF(AV173="","",AV173+60)</f>
        <v/>
      </c>
      <c r="AX173" s="11" t="str">
        <f aca="true">IF(A173="","",IF(AND(AV173&lt;&gt;"",AW173&lt;TODAY(),OR(AH173="Interés",AH173="Cotizado")),"Sí","No"))</f>
        <v/>
      </c>
      <c r="AY173" s="6"/>
      <c r="AZ173" s="6"/>
      <c r="BA173" s="6"/>
      <c r="BB173" s="6"/>
      <c r="BC173" s="4"/>
      <c r="BD173" s="12"/>
    </row>
    <row r="174" customFormat="false" ht="23.8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2" t="n">
        <f aca="false">SUM(F174:I174)</f>
        <v>0</v>
      </c>
      <c r="K174" s="6"/>
      <c r="L174" s="6"/>
      <c r="M174" s="7"/>
      <c r="N174" s="7"/>
      <c r="O174" s="8"/>
      <c r="P174" s="8"/>
      <c r="Q174" s="8"/>
      <c r="R174" s="8"/>
      <c r="S174" s="8"/>
      <c r="T174" s="6"/>
      <c r="U174" s="6"/>
      <c r="V174" s="6"/>
      <c r="W174" s="6"/>
      <c r="X174" s="8"/>
      <c r="Y174" s="6"/>
      <c r="Z174" s="6"/>
      <c r="AA174" s="7"/>
      <c r="AB174" s="9" t="str">
        <f aca="false">IF(N174="","",MAX(0,N174-AA174))</f>
        <v/>
      </c>
      <c r="AC174" s="10" t="str">
        <f aca="false">IF(N174="","",IF(N174=0,0,AA174/N174))</f>
        <v/>
      </c>
      <c r="AD174" s="8"/>
      <c r="AE174" s="6"/>
      <c r="AF174" s="6"/>
      <c r="AG174" s="6"/>
      <c r="AH174" s="6"/>
      <c r="AI174" s="2" t="str">
        <f aca="false">IF(A174="","",IF(V174="Yes",IF(U174="Yes",1,2),""))</f>
        <v/>
      </c>
      <c r="AJ174" s="8"/>
      <c r="AK174" s="2" t="str">
        <f aca="false">IF(A174="","",IF(AJ174="","",COUNTIFS($E$2:$E$201,E174,$AI$2:$AI$201,AI174,$AJ$2:$AJ$201,"&lt;="&amp;AJ174)))</f>
        <v/>
      </c>
      <c r="AL174" s="2" t="str">
        <f aca="false">IF(A174="","",IF(AH174&lt;&gt;"Confirmado","No",IF(AG174="CO/SO₂ simultáneos",IF(OR(COUNTIFS($E$2:$E$201,E174,$AH$2:$AH$201,"Confirmado",$AG$2:$AG$201,"CO/SO₂ simultáneos")=3,SUMIFS($J$2:$J$201,$E$2:$E$201,E174,$AH$2:$AH$201,"Confirmado",$AG$2:$AG$201,"CO/SO₂ simultáneos")=6),"Sí","No"),IF(OR(AND(F174&gt;0,SUMIFS($F$2:$F$201,$E$2:$E$201,E174,$AH$2:$AH$201,"Confirmado")=4),AND(G174&gt;0,SUMIFS($G$2:$G$201,$E$2:$E$201,E174,$AH$2:$AH$201,"Confirmado")=4),AND(H174&gt;0,SUMIFS($H$2:$H$201,$E$2:$E$201,E174,$AH$2:$AH$201,"Confirmado")=4),AND(I174&gt;0,SUMIFS($I$2:$I$201,$E$2:$E$201,E174,$AH$2:$AH$201,"Confirmado")=4)),"Sí","No"))))</f>
        <v/>
      </c>
      <c r="AM174" s="2" t="str">
        <f aca="false">IF(A174="","",IF(AH174&lt;&gt;"Confirmado","",IF(AG174="CO/SO₂ simultáneos",IF(OR(COUNTIFS($E$2:$E$201,E174,$AH$2:$AH$201,"Confirmado",$AG$2:$AG$201,"CO/SO₂ simultáneos")&gt;3,SUMIFS($J$2:$J$201,$E$2:$E$201,E174,$AH$2:$AH$201,"Confirmado",$AG$2:$AG$201,"CO/SO₂ simultáneos")&gt;6),"CAPACIDAD EXCEDIDA","OK"),IF(OR(SUMIFS($F$2:$F$201,$E$2:$E$201,E174,$AH$2:$AH$201,"Confirmado")&gt;4,SUMIFS($G$2:$G$201,$E$2:$E$201,E174,$AH$2:$AH$201,"Confirmado")&gt;4,SUMIFS($H$2:$H$201,$E$2:$E$201,E174,$AH$2:$AH$201,"Confirmado")&gt;4,SUMIFS($I$2:$I$201,$E$2:$E$201,E174,$AH$2:$AH$201,"Confirmado")&gt;4),"CAPACIDAD EXCEDIDA","OK"))))</f>
        <v/>
      </c>
      <c r="AN174" s="2" t="str">
        <f aca="true">IF(A174="","",IF(AND(AC174&lt;1,Q174&lt;TODAY(),AH174="Aceptado pendiente de pago/orden"),"PLAZO VENCIDO",IF(AND(AC174&lt;1,AD174&lt;&gt;"",AD174&lt;TODAY()),"VENCIDO","OK")))</f>
        <v/>
      </c>
      <c r="AO174" s="6"/>
      <c r="AP174" s="8"/>
      <c r="AQ174" s="6"/>
      <c r="AR174" s="6" t="s">
        <v>73</v>
      </c>
      <c r="AS174" s="6"/>
      <c r="AT174" s="6"/>
      <c r="AU174" s="6"/>
      <c r="AV174" s="6"/>
      <c r="AW174" s="8" t="str">
        <f aca="false">IF(AV174="","",AV174+60)</f>
        <v/>
      </c>
      <c r="AX174" s="11" t="str">
        <f aca="true">IF(A174="","",IF(AND(AV174&lt;&gt;"",AW174&lt;TODAY(),OR(AH174="Interés",AH174="Cotizado")),"Sí","No"))</f>
        <v/>
      </c>
      <c r="AY174" s="6"/>
      <c r="AZ174" s="6"/>
      <c r="BA174" s="6"/>
      <c r="BB174" s="6"/>
      <c r="BC174" s="4"/>
      <c r="BD174" s="12"/>
    </row>
    <row r="175" customFormat="false" ht="23.8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2" t="n">
        <f aca="false">SUM(F175:I175)</f>
        <v>0</v>
      </c>
      <c r="K175" s="6"/>
      <c r="L175" s="6"/>
      <c r="M175" s="7"/>
      <c r="N175" s="7"/>
      <c r="O175" s="8"/>
      <c r="P175" s="8"/>
      <c r="Q175" s="8"/>
      <c r="R175" s="8"/>
      <c r="S175" s="8"/>
      <c r="T175" s="6"/>
      <c r="U175" s="6"/>
      <c r="V175" s="6"/>
      <c r="W175" s="6"/>
      <c r="X175" s="8"/>
      <c r="Y175" s="6"/>
      <c r="Z175" s="6"/>
      <c r="AA175" s="7"/>
      <c r="AB175" s="9" t="str">
        <f aca="false">IF(N175="","",MAX(0,N175-AA175))</f>
        <v/>
      </c>
      <c r="AC175" s="10" t="str">
        <f aca="false">IF(N175="","",IF(N175=0,0,AA175/N175))</f>
        <v/>
      </c>
      <c r="AD175" s="8"/>
      <c r="AE175" s="6"/>
      <c r="AF175" s="6"/>
      <c r="AG175" s="6"/>
      <c r="AH175" s="6"/>
      <c r="AI175" s="2" t="str">
        <f aca="false">IF(A175="","",IF(V175="Yes",IF(U175="Yes",1,2),""))</f>
        <v/>
      </c>
      <c r="AJ175" s="8"/>
      <c r="AK175" s="2" t="str">
        <f aca="false">IF(A175="","",IF(AJ175="","",COUNTIFS($E$2:$E$201,E175,$AI$2:$AI$201,AI175,$AJ$2:$AJ$201,"&lt;="&amp;AJ175)))</f>
        <v/>
      </c>
      <c r="AL175" s="2" t="str">
        <f aca="false">IF(A175="","",IF(AH175&lt;&gt;"Confirmado","No",IF(AG175="CO/SO₂ simultáneos",IF(OR(COUNTIFS($E$2:$E$201,E175,$AH$2:$AH$201,"Confirmado",$AG$2:$AG$201,"CO/SO₂ simultáneos")=3,SUMIFS($J$2:$J$201,$E$2:$E$201,E175,$AH$2:$AH$201,"Confirmado",$AG$2:$AG$201,"CO/SO₂ simultáneos")=6),"Sí","No"),IF(OR(AND(F175&gt;0,SUMIFS($F$2:$F$201,$E$2:$E$201,E175,$AH$2:$AH$201,"Confirmado")=4),AND(G175&gt;0,SUMIFS($G$2:$G$201,$E$2:$E$201,E175,$AH$2:$AH$201,"Confirmado")=4),AND(H175&gt;0,SUMIFS($H$2:$H$201,$E$2:$E$201,E175,$AH$2:$AH$201,"Confirmado")=4),AND(I175&gt;0,SUMIFS($I$2:$I$201,$E$2:$E$201,E175,$AH$2:$AH$201,"Confirmado")=4)),"Sí","No"))))</f>
        <v/>
      </c>
      <c r="AM175" s="2" t="str">
        <f aca="false">IF(A175="","",IF(AH175&lt;&gt;"Confirmado","",IF(AG175="CO/SO₂ simultáneos",IF(OR(COUNTIFS($E$2:$E$201,E175,$AH$2:$AH$201,"Confirmado",$AG$2:$AG$201,"CO/SO₂ simultáneos")&gt;3,SUMIFS($J$2:$J$201,$E$2:$E$201,E175,$AH$2:$AH$201,"Confirmado",$AG$2:$AG$201,"CO/SO₂ simultáneos")&gt;6),"CAPACIDAD EXCEDIDA","OK"),IF(OR(SUMIFS($F$2:$F$201,$E$2:$E$201,E175,$AH$2:$AH$201,"Confirmado")&gt;4,SUMIFS($G$2:$G$201,$E$2:$E$201,E175,$AH$2:$AH$201,"Confirmado")&gt;4,SUMIFS($H$2:$H$201,$E$2:$E$201,E175,$AH$2:$AH$201,"Confirmado")&gt;4,SUMIFS($I$2:$I$201,$E$2:$E$201,E175,$AH$2:$AH$201,"Confirmado")&gt;4),"CAPACIDAD EXCEDIDA","OK"))))</f>
        <v/>
      </c>
      <c r="AN175" s="2" t="str">
        <f aca="true">IF(A175="","",IF(AND(AC175&lt;1,Q175&lt;TODAY(),AH175="Aceptado pendiente de pago/orden"),"PLAZO VENCIDO",IF(AND(AC175&lt;1,AD175&lt;&gt;"",AD175&lt;TODAY()),"VENCIDO","OK")))</f>
        <v/>
      </c>
      <c r="AO175" s="6"/>
      <c r="AP175" s="8"/>
      <c r="AQ175" s="6"/>
      <c r="AR175" s="6" t="s">
        <v>73</v>
      </c>
      <c r="AS175" s="6"/>
      <c r="AT175" s="6"/>
      <c r="AU175" s="6"/>
      <c r="AV175" s="6"/>
      <c r="AW175" s="8" t="str">
        <f aca="false">IF(AV175="","",AV175+60)</f>
        <v/>
      </c>
      <c r="AX175" s="11" t="str">
        <f aca="true">IF(A175="","",IF(AND(AV175&lt;&gt;"",AW175&lt;TODAY(),OR(AH175="Interés",AH175="Cotizado")),"Sí","No"))</f>
        <v/>
      </c>
      <c r="AY175" s="6"/>
      <c r="AZ175" s="6"/>
      <c r="BA175" s="6"/>
      <c r="BB175" s="6"/>
      <c r="BC175" s="4"/>
      <c r="BD175" s="12"/>
    </row>
    <row r="176" customFormat="false" ht="23.8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2" t="n">
        <f aca="false">SUM(F176:I176)</f>
        <v>0</v>
      </c>
      <c r="K176" s="6"/>
      <c r="L176" s="6"/>
      <c r="M176" s="7"/>
      <c r="N176" s="7"/>
      <c r="O176" s="8"/>
      <c r="P176" s="8"/>
      <c r="Q176" s="8"/>
      <c r="R176" s="8"/>
      <c r="S176" s="8"/>
      <c r="T176" s="6"/>
      <c r="U176" s="6"/>
      <c r="V176" s="6"/>
      <c r="W176" s="6"/>
      <c r="X176" s="8"/>
      <c r="Y176" s="6"/>
      <c r="Z176" s="6"/>
      <c r="AA176" s="7"/>
      <c r="AB176" s="9" t="str">
        <f aca="false">IF(N176="","",MAX(0,N176-AA176))</f>
        <v/>
      </c>
      <c r="AC176" s="10" t="str">
        <f aca="false">IF(N176="","",IF(N176=0,0,AA176/N176))</f>
        <v/>
      </c>
      <c r="AD176" s="8"/>
      <c r="AE176" s="6"/>
      <c r="AF176" s="6"/>
      <c r="AG176" s="6"/>
      <c r="AH176" s="6"/>
      <c r="AI176" s="2" t="str">
        <f aca="false">IF(A176="","",IF(V176="Yes",IF(U176="Yes",1,2),""))</f>
        <v/>
      </c>
      <c r="AJ176" s="8"/>
      <c r="AK176" s="2" t="str">
        <f aca="false">IF(A176="","",IF(AJ176="","",COUNTIFS($E$2:$E$201,E176,$AI$2:$AI$201,AI176,$AJ$2:$AJ$201,"&lt;="&amp;AJ176)))</f>
        <v/>
      </c>
      <c r="AL176" s="2" t="str">
        <f aca="false">IF(A176="","",IF(AH176&lt;&gt;"Confirmado","No",IF(AG176="CO/SO₂ simultáneos",IF(OR(COUNTIFS($E$2:$E$201,E176,$AH$2:$AH$201,"Confirmado",$AG$2:$AG$201,"CO/SO₂ simultáneos")=3,SUMIFS($J$2:$J$201,$E$2:$E$201,E176,$AH$2:$AH$201,"Confirmado",$AG$2:$AG$201,"CO/SO₂ simultáneos")=6),"Sí","No"),IF(OR(AND(F176&gt;0,SUMIFS($F$2:$F$201,$E$2:$E$201,E176,$AH$2:$AH$201,"Confirmado")=4),AND(G176&gt;0,SUMIFS($G$2:$G$201,$E$2:$E$201,E176,$AH$2:$AH$201,"Confirmado")=4),AND(H176&gt;0,SUMIFS($H$2:$H$201,$E$2:$E$201,E176,$AH$2:$AH$201,"Confirmado")=4),AND(I176&gt;0,SUMIFS($I$2:$I$201,$E$2:$E$201,E176,$AH$2:$AH$201,"Confirmado")=4)),"Sí","No"))))</f>
        <v/>
      </c>
      <c r="AM176" s="2" t="str">
        <f aca="false">IF(A176="","",IF(AH176&lt;&gt;"Confirmado","",IF(AG176="CO/SO₂ simultáneos",IF(OR(COUNTIFS($E$2:$E$201,E176,$AH$2:$AH$201,"Confirmado",$AG$2:$AG$201,"CO/SO₂ simultáneos")&gt;3,SUMIFS($J$2:$J$201,$E$2:$E$201,E176,$AH$2:$AH$201,"Confirmado",$AG$2:$AG$201,"CO/SO₂ simultáneos")&gt;6),"CAPACIDAD EXCEDIDA","OK"),IF(OR(SUMIFS($F$2:$F$201,$E$2:$E$201,E176,$AH$2:$AH$201,"Confirmado")&gt;4,SUMIFS($G$2:$G$201,$E$2:$E$201,E176,$AH$2:$AH$201,"Confirmado")&gt;4,SUMIFS($H$2:$H$201,$E$2:$E$201,E176,$AH$2:$AH$201,"Confirmado")&gt;4,SUMIFS($I$2:$I$201,$E$2:$E$201,E176,$AH$2:$AH$201,"Confirmado")&gt;4),"CAPACIDAD EXCEDIDA","OK"))))</f>
        <v/>
      </c>
      <c r="AN176" s="2" t="str">
        <f aca="true">IF(A176="","",IF(AND(AC176&lt;1,Q176&lt;TODAY(),AH176="Aceptado pendiente de pago/orden"),"PLAZO VENCIDO",IF(AND(AC176&lt;1,AD176&lt;&gt;"",AD176&lt;TODAY()),"VENCIDO","OK")))</f>
        <v/>
      </c>
      <c r="AO176" s="6"/>
      <c r="AP176" s="8"/>
      <c r="AQ176" s="6"/>
      <c r="AR176" s="6" t="s">
        <v>73</v>
      </c>
      <c r="AS176" s="6"/>
      <c r="AT176" s="6"/>
      <c r="AU176" s="6"/>
      <c r="AV176" s="6"/>
      <c r="AW176" s="8" t="str">
        <f aca="false">IF(AV176="","",AV176+60)</f>
        <v/>
      </c>
      <c r="AX176" s="11" t="str">
        <f aca="true">IF(A176="","",IF(AND(AV176&lt;&gt;"",AW176&lt;TODAY(),OR(AH176="Interés",AH176="Cotizado")),"Sí","No"))</f>
        <v/>
      </c>
      <c r="AY176" s="6"/>
      <c r="AZ176" s="6"/>
      <c r="BA176" s="6"/>
      <c r="BB176" s="6"/>
      <c r="BC176" s="4"/>
      <c r="BD176" s="12"/>
    </row>
    <row r="177" customFormat="false" ht="23.8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2" t="n">
        <f aca="false">SUM(F177:I177)</f>
        <v>0</v>
      </c>
      <c r="K177" s="6"/>
      <c r="L177" s="6"/>
      <c r="M177" s="7"/>
      <c r="N177" s="7"/>
      <c r="O177" s="8"/>
      <c r="P177" s="8"/>
      <c r="Q177" s="8"/>
      <c r="R177" s="8"/>
      <c r="S177" s="8"/>
      <c r="T177" s="6"/>
      <c r="U177" s="6"/>
      <c r="V177" s="6"/>
      <c r="W177" s="6"/>
      <c r="X177" s="8"/>
      <c r="Y177" s="6"/>
      <c r="Z177" s="6"/>
      <c r="AA177" s="7"/>
      <c r="AB177" s="9" t="str">
        <f aca="false">IF(N177="","",MAX(0,N177-AA177))</f>
        <v/>
      </c>
      <c r="AC177" s="10" t="str">
        <f aca="false">IF(N177="","",IF(N177=0,0,AA177/N177))</f>
        <v/>
      </c>
      <c r="AD177" s="8"/>
      <c r="AE177" s="6"/>
      <c r="AF177" s="6"/>
      <c r="AG177" s="6"/>
      <c r="AH177" s="6"/>
      <c r="AI177" s="2" t="str">
        <f aca="false">IF(A177="","",IF(V177="Yes",IF(U177="Yes",1,2),""))</f>
        <v/>
      </c>
      <c r="AJ177" s="8"/>
      <c r="AK177" s="2" t="str">
        <f aca="false">IF(A177="","",IF(AJ177="","",COUNTIFS($E$2:$E$201,E177,$AI$2:$AI$201,AI177,$AJ$2:$AJ$201,"&lt;="&amp;AJ177)))</f>
        <v/>
      </c>
      <c r="AL177" s="2" t="str">
        <f aca="false">IF(A177="","",IF(AH177&lt;&gt;"Confirmado","No",IF(AG177="CO/SO₂ simultáneos",IF(OR(COUNTIFS($E$2:$E$201,E177,$AH$2:$AH$201,"Confirmado",$AG$2:$AG$201,"CO/SO₂ simultáneos")=3,SUMIFS($J$2:$J$201,$E$2:$E$201,E177,$AH$2:$AH$201,"Confirmado",$AG$2:$AG$201,"CO/SO₂ simultáneos")=6),"Sí","No"),IF(OR(AND(F177&gt;0,SUMIFS($F$2:$F$201,$E$2:$E$201,E177,$AH$2:$AH$201,"Confirmado")=4),AND(G177&gt;0,SUMIFS($G$2:$G$201,$E$2:$E$201,E177,$AH$2:$AH$201,"Confirmado")=4),AND(H177&gt;0,SUMIFS($H$2:$H$201,$E$2:$E$201,E177,$AH$2:$AH$201,"Confirmado")=4),AND(I177&gt;0,SUMIFS($I$2:$I$201,$E$2:$E$201,E177,$AH$2:$AH$201,"Confirmado")=4)),"Sí","No"))))</f>
        <v/>
      </c>
      <c r="AM177" s="2" t="str">
        <f aca="false">IF(A177="","",IF(AH177&lt;&gt;"Confirmado","",IF(AG177="CO/SO₂ simultáneos",IF(OR(COUNTIFS($E$2:$E$201,E177,$AH$2:$AH$201,"Confirmado",$AG$2:$AG$201,"CO/SO₂ simultáneos")&gt;3,SUMIFS($J$2:$J$201,$E$2:$E$201,E177,$AH$2:$AH$201,"Confirmado",$AG$2:$AG$201,"CO/SO₂ simultáneos")&gt;6),"CAPACIDAD EXCEDIDA","OK"),IF(OR(SUMIFS($F$2:$F$201,$E$2:$E$201,E177,$AH$2:$AH$201,"Confirmado")&gt;4,SUMIFS($G$2:$G$201,$E$2:$E$201,E177,$AH$2:$AH$201,"Confirmado")&gt;4,SUMIFS($H$2:$H$201,$E$2:$E$201,E177,$AH$2:$AH$201,"Confirmado")&gt;4,SUMIFS($I$2:$I$201,$E$2:$E$201,E177,$AH$2:$AH$201,"Confirmado")&gt;4),"CAPACIDAD EXCEDIDA","OK"))))</f>
        <v/>
      </c>
      <c r="AN177" s="2" t="str">
        <f aca="true">IF(A177="","",IF(AND(AC177&lt;1,Q177&lt;TODAY(),AH177="Aceptado pendiente de pago/orden"),"PLAZO VENCIDO",IF(AND(AC177&lt;1,AD177&lt;&gt;"",AD177&lt;TODAY()),"VENCIDO","OK")))</f>
        <v/>
      </c>
      <c r="AO177" s="6"/>
      <c r="AP177" s="8"/>
      <c r="AQ177" s="6"/>
      <c r="AR177" s="6" t="s">
        <v>73</v>
      </c>
      <c r="AS177" s="6"/>
      <c r="AT177" s="6"/>
      <c r="AU177" s="6"/>
      <c r="AV177" s="6"/>
      <c r="AW177" s="8" t="str">
        <f aca="false">IF(AV177="","",AV177+60)</f>
        <v/>
      </c>
      <c r="AX177" s="11" t="str">
        <f aca="true">IF(A177="","",IF(AND(AV177&lt;&gt;"",AW177&lt;TODAY(),OR(AH177="Interés",AH177="Cotizado")),"Sí","No"))</f>
        <v/>
      </c>
      <c r="AY177" s="6"/>
      <c r="AZ177" s="6"/>
      <c r="BA177" s="6"/>
      <c r="BB177" s="6"/>
      <c r="BC177" s="4"/>
      <c r="BD177" s="12"/>
    </row>
    <row r="178" customFormat="false" ht="23.8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2" t="n">
        <f aca="false">SUM(F178:I178)</f>
        <v>0</v>
      </c>
      <c r="K178" s="6"/>
      <c r="L178" s="6"/>
      <c r="M178" s="7"/>
      <c r="N178" s="7"/>
      <c r="O178" s="8"/>
      <c r="P178" s="8"/>
      <c r="Q178" s="8"/>
      <c r="R178" s="8"/>
      <c r="S178" s="8"/>
      <c r="T178" s="6"/>
      <c r="U178" s="6"/>
      <c r="V178" s="6"/>
      <c r="W178" s="6"/>
      <c r="X178" s="8"/>
      <c r="Y178" s="6"/>
      <c r="Z178" s="6"/>
      <c r="AA178" s="7"/>
      <c r="AB178" s="9" t="str">
        <f aca="false">IF(N178="","",MAX(0,N178-AA178))</f>
        <v/>
      </c>
      <c r="AC178" s="10" t="str">
        <f aca="false">IF(N178="","",IF(N178=0,0,AA178/N178))</f>
        <v/>
      </c>
      <c r="AD178" s="8"/>
      <c r="AE178" s="6"/>
      <c r="AF178" s="6"/>
      <c r="AG178" s="6"/>
      <c r="AH178" s="6"/>
      <c r="AI178" s="2" t="str">
        <f aca="false">IF(A178="","",IF(V178="Yes",IF(U178="Yes",1,2),""))</f>
        <v/>
      </c>
      <c r="AJ178" s="8"/>
      <c r="AK178" s="2" t="str">
        <f aca="false">IF(A178="","",IF(AJ178="","",COUNTIFS($E$2:$E$201,E178,$AI$2:$AI$201,AI178,$AJ$2:$AJ$201,"&lt;="&amp;AJ178)))</f>
        <v/>
      </c>
      <c r="AL178" s="2" t="str">
        <f aca="false">IF(A178="","",IF(AH178&lt;&gt;"Confirmado","No",IF(AG178="CO/SO₂ simultáneos",IF(OR(COUNTIFS($E$2:$E$201,E178,$AH$2:$AH$201,"Confirmado",$AG$2:$AG$201,"CO/SO₂ simultáneos")=3,SUMIFS($J$2:$J$201,$E$2:$E$201,E178,$AH$2:$AH$201,"Confirmado",$AG$2:$AG$201,"CO/SO₂ simultáneos")=6),"Sí","No"),IF(OR(AND(F178&gt;0,SUMIFS($F$2:$F$201,$E$2:$E$201,E178,$AH$2:$AH$201,"Confirmado")=4),AND(G178&gt;0,SUMIFS($G$2:$G$201,$E$2:$E$201,E178,$AH$2:$AH$201,"Confirmado")=4),AND(H178&gt;0,SUMIFS($H$2:$H$201,$E$2:$E$201,E178,$AH$2:$AH$201,"Confirmado")=4),AND(I178&gt;0,SUMIFS($I$2:$I$201,$E$2:$E$201,E178,$AH$2:$AH$201,"Confirmado")=4)),"Sí","No"))))</f>
        <v/>
      </c>
      <c r="AM178" s="2" t="str">
        <f aca="false">IF(A178="","",IF(AH178&lt;&gt;"Confirmado","",IF(AG178="CO/SO₂ simultáneos",IF(OR(COUNTIFS($E$2:$E$201,E178,$AH$2:$AH$201,"Confirmado",$AG$2:$AG$201,"CO/SO₂ simultáneos")&gt;3,SUMIFS($J$2:$J$201,$E$2:$E$201,E178,$AH$2:$AH$201,"Confirmado",$AG$2:$AG$201,"CO/SO₂ simultáneos")&gt;6),"CAPACIDAD EXCEDIDA","OK"),IF(OR(SUMIFS($F$2:$F$201,$E$2:$E$201,E178,$AH$2:$AH$201,"Confirmado")&gt;4,SUMIFS($G$2:$G$201,$E$2:$E$201,E178,$AH$2:$AH$201,"Confirmado")&gt;4,SUMIFS($H$2:$H$201,$E$2:$E$201,E178,$AH$2:$AH$201,"Confirmado")&gt;4,SUMIFS($I$2:$I$201,$E$2:$E$201,E178,$AH$2:$AH$201,"Confirmado")&gt;4),"CAPACIDAD EXCEDIDA","OK"))))</f>
        <v/>
      </c>
      <c r="AN178" s="2" t="str">
        <f aca="true">IF(A178="","",IF(AND(AC178&lt;1,Q178&lt;TODAY(),AH178="Aceptado pendiente de pago/orden"),"PLAZO VENCIDO",IF(AND(AC178&lt;1,AD178&lt;&gt;"",AD178&lt;TODAY()),"VENCIDO","OK")))</f>
        <v/>
      </c>
      <c r="AO178" s="6"/>
      <c r="AP178" s="8"/>
      <c r="AQ178" s="6"/>
      <c r="AR178" s="6" t="s">
        <v>73</v>
      </c>
      <c r="AS178" s="6"/>
      <c r="AT178" s="6"/>
      <c r="AU178" s="6"/>
      <c r="AV178" s="6"/>
      <c r="AW178" s="8" t="str">
        <f aca="false">IF(AV178="","",AV178+60)</f>
        <v/>
      </c>
      <c r="AX178" s="11" t="str">
        <f aca="true">IF(A178="","",IF(AND(AV178&lt;&gt;"",AW178&lt;TODAY(),OR(AH178="Interés",AH178="Cotizado")),"Sí","No"))</f>
        <v/>
      </c>
      <c r="AY178" s="6"/>
      <c r="AZ178" s="6"/>
      <c r="BA178" s="6"/>
      <c r="BB178" s="6"/>
      <c r="BC178" s="4"/>
      <c r="BD178" s="12"/>
    </row>
    <row r="179" customFormat="false" ht="23.8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2" t="n">
        <f aca="false">SUM(F179:I179)</f>
        <v>0</v>
      </c>
      <c r="K179" s="6"/>
      <c r="L179" s="6"/>
      <c r="M179" s="7"/>
      <c r="N179" s="7"/>
      <c r="O179" s="8"/>
      <c r="P179" s="8"/>
      <c r="Q179" s="8"/>
      <c r="R179" s="8"/>
      <c r="S179" s="8"/>
      <c r="T179" s="6"/>
      <c r="U179" s="6"/>
      <c r="V179" s="6"/>
      <c r="W179" s="6"/>
      <c r="X179" s="8"/>
      <c r="Y179" s="6"/>
      <c r="Z179" s="6"/>
      <c r="AA179" s="7"/>
      <c r="AB179" s="9" t="str">
        <f aca="false">IF(N179="","",MAX(0,N179-AA179))</f>
        <v/>
      </c>
      <c r="AC179" s="10" t="str">
        <f aca="false">IF(N179="","",IF(N179=0,0,AA179/N179))</f>
        <v/>
      </c>
      <c r="AD179" s="8"/>
      <c r="AE179" s="6"/>
      <c r="AF179" s="6"/>
      <c r="AG179" s="6"/>
      <c r="AH179" s="6"/>
      <c r="AI179" s="2" t="str">
        <f aca="false">IF(A179="","",IF(V179="Yes",IF(U179="Yes",1,2),""))</f>
        <v/>
      </c>
      <c r="AJ179" s="8"/>
      <c r="AK179" s="2" t="str">
        <f aca="false">IF(A179="","",IF(AJ179="","",COUNTIFS($E$2:$E$201,E179,$AI$2:$AI$201,AI179,$AJ$2:$AJ$201,"&lt;="&amp;AJ179)))</f>
        <v/>
      </c>
      <c r="AL179" s="2" t="str">
        <f aca="false">IF(A179="","",IF(AH179&lt;&gt;"Confirmado","No",IF(AG179="CO/SO₂ simultáneos",IF(OR(COUNTIFS($E$2:$E$201,E179,$AH$2:$AH$201,"Confirmado",$AG$2:$AG$201,"CO/SO₂ simultáneos")=3,SUMIFS($J$2:$J$201,$E$2:$E$201,E179,$AH$2:$AH$201,"Confirmado",$AG$2:$AG$201,"CO/SO₂ simultáneos")=6),"Sí","No"),IF(OR(AND(F179&gt;0,SUMIFS($F$2:$F$201,$E$2:$E$201,E179,$AH$2:$AH$201,"Confirmado")=4),AND(G179&gt;0,SUMIFS($G$2:$G$201,$E$2:$E$201,E179,$AH$2:$AH$201,"Confirmado")=4),AND(H179&gt;0,SUMIFS($H$2:$H$201,$E$2:$E$201,E179,$AH$2:$AH$201,"Confirmado")=4),AND(I179&gt;0,SUMIFS($I$2:$I$201,$E$2:$E$201,E179,$AH$2:$AH$201,"Confirmado")=4)),"Sí","No"))))</f>
        <v/>
      </c>
      <c r="AM179" s="2" t="str">
        <f aca="false">IF(A179="","",IF(AH179&lt;&gt;"Confirmado","",IF(AG179="CO/SO₂ simultáneos",IF(OR(COUNTIFS($E$2:$E$201,E179,$AH$2:$AH$201,"Confirmado",$AG$2:$AG$201,"CO/SO₂ simultáneos")&gt;3,SUMIFS($J$2:$J$201,$E$2:$E$201,E179,$AH$2:$AH$201,"Confirmado",$AG$2:$AG$201,"CO/SO₂ simultáneos")&gt;6),"CAPACIDAD EXCEDIDA","OK"),IF(OR(SUMIFS($F$2:$F$201,$E$2:$E$201,E179,$AH$2:$AH$201,"Confirmado")&gt;4,SUMIFS($G$2:$G$201,$E$2:$E$201,E179,$AH$2:$AH$201,"Confirmado")&gt;4,SUMIFS($H$2:$H$201,$E$2:$E$201,E179,$AH$2:$AH$201,"Confirmado")&gt;4,SUMIFS($I$2:$I$201,$E$2:$E$201,E179,$AH$2:$AH$201,"Confirmado")&gt;4),"CAPACIDAD EXCEDIDA","OK"))))</f>
        <v/>
      </c>
      <c r="AN179" s="2" t="str">
        <f aca="true">IF(A179="","",IF(AND(AC179&lt;1,Q179&lt;TODAY(),AH179="Aceptado pendiente de pago/orden"),"PLAZO VENCIDO",IF(AND(AC179&lt;1,AD179&lt;&gt;"",AD179&lt;TODAY()),"VENCIDO","OK")))</f>
        <v/>
      </c>
      <c r="AO179" s="6"/>
      <c r="AP179" s="8"/>
      <c r="AQ179" s="6"/>
      <c r="AR179" s="6" t="s">
        <v>73</v>
      </c>
      <c r="AS179" s="6"/>
      <c r="AT179" s="6"/>
      <c r="AU179" s="6"/>
      <c r="AV179" s="6"/>
      <c r="AW179" s="8" t="str">
        <f aca="false">IF(AV179="","",AV179+60)</f>
        <v/>
      </c>
      <c r="AX179" s="11" t="str">
        <f aca="true">IF(A179="","",IF(AND(AV179&lt;&gt;"",AW179&lt;TODAY(),OR(AH179="Interés",AH179="Cotizado")),"Sí","No"))</f>
        <v/>
      </c>
      <c r="AY179" s="6"/>
      <c r="AZ179" s="6"/>
      <c r="BA179" s="6"/>
      <c r="BB179" s="6"/>
      <c r="BC179" s="4"/>
      <c r="BD179" s="12"/>
    </row>
    <row r="180" customFormat="false" ht="23.8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2" t="n">
        <f aca="false">SUM(F180:I180)</f>
        <v>0</v>
      </c>
      <c r="K180" s="6"/>
      <c r="L180" s="6"/>
      <c r="M180" s="7"/>
      <c r="N180" s="7"/>
      <c r="O180" s="8"/>
      <c r="P180" s="8"/>
      <c r="Q180" s="8"/>
      <c r="R180" s="8"/>
      <c r="S180" s="8"/>
      <c r="T180" s="6"/>
      <c r="U180" s="6"/>
      <c r="V180" s="6"/>
      <c r="W180" s="6"/>
      <c r="X180" s="8"/>
      <c r="Y180" s="6"/>
      <c r="Z180" s="6"/>
      <c r="AA180" s="7"/>
      <c r="AB180" s="9" t="str">
        <f aca="false">IF(N180="","",MAX(0,N180-AA180))</f>
        <v/>
      </c>
      <c r="AC180" s="10" t="str">
        <f aca="false">IF(N180="","",IF(N180=0,0,AA180/N180))</f>
        <v/>
      </c>
      <c r="AD180" s="8"/>
      <c r="AE180" s="6"/>
      <c r="AF180" s="6"/>
      <c r="AG180" s="6"/>
      <c r="AH180" s="6"/>
      <c r="AI180" s="2" t="str">
        <f aca="false">IF(A180="","",IF(V180="Yes",IF(U180="Yes",1,2),""))</f>
        <v/>
      </c>
      <c r="AJ180" s="8"/>
      <c r="AK180" s="2" t="str">
        <f aca="false">IF(A180="","",IF(AJ180="","",COUNTIFS($E$2:$E$201,E180,$AI$2:$AI$201,AI180,$AJ$2:$AJ$201,"&lt;="&amp;AJ180)))</f>
        <v/>
      </c>
      <c r="AL180" s="2" t="str">
        <f aca="false">IF(A180="","",IF(AH180&lt;&gt;"Confirmado","No",IF(AG180="CO/SO₂ simultáneos",IF(OR(COUNTIFS($E$2:$E$201,E180,$AH$2:$AH$201,"Confirmado",$AG$2:$AG$201,"CO/SO₂ simultáneos")=3,SUMIFS($J$2:$J$201,$E$2:$E$201,E180,$AH$2:$AH$201,"Confirmado",$AG$2:$AG$201,"CO/SO₂ simultáneos")=6),"Sí","No"),IF(OR(AND(F180&gt;0,SUMIFS($F$2:$F$201,$E$2:$E$201,E180,$AH$2:$AH$201,"Confirmado")=4),AND(G180&gt;0,SUMIFS($G$2:$G$201,$E$2:$E$201,E180,$AH$2:$AH$201,"Confirmado")=4),AND(H180&gt;0,SUMIFS($H$2:$H$201,$E$2:$E$201,E180,$AH$2:$AH$201,"Confirmado")=4),AND(I180&gt;0,SUMIFS($I$2:$I$201,$E$2:$E$201,E180,$AH$2:$AH$201,"Confirmado")=4)),"Sí","No"))))</f>
        <v/>
      </c>
      <c r="AM180" s="2" t="str">
        <f aca="false">IF(A180="","",IF(AH180&lt;&gt;"Confirmado","",IF(AG180="CO/SO₂ simultáneos",IF(OR(COUNTIFS($E$2:$E$201,E180,$AH$2:$AH$201,"Confirmado",$AG$2:$AG$201,"CO/SO₂ simultáneos")&gt;3,SUMIFS($J$2:$J$201,$E$2:$E$201,E180,$AH$2:$AH$201,"Confirmado",$AG$2:$AG$201,"CO/SO₂ simultáneos")&gt;6),"CAPACIDAD EXCEDIDA","OK"),IF(OR(SUMIFS($F$2:$F$201,$E$2:$E$201,E180,$AH$2:$AH$201,"Confirmado")&gt;4,SUMIFS($G$2:$G$201,$E$2:$E$201,E180,$AH$2:$AH$201,"Confirmado")&gt;4,SUMIFS($H$2:$H$201,$E$2:$E$201,E180,$AH$2:$AH$201,"Confirmado")&gt;4,SUMIFS($I$2:$I$201,$E$2:$E$201,E180,$AH$2:$AH$201,"Confirmado")&gt;4),"CAPACIDAD EXCEDIDA","OK"))))</f>
        <v/>
      </c>
      <c r="AN180" s="2" t="str">
        <f aca="true">IF(A180="","",IF(AND(AC180&lt;1,Q180&lt;TODAY(),AH180="Aceptado pendiente de pago/orden"),"PLAZO VENCIDO",IF(AND(AC180&lt;1,AD180&lt;&gt;"",AD180&lt;TODAY()),"VENCIDO","OK")))</f>
        <v/>
      </c>
      <c r="AO180" s="6"/>
      <c r="AP180" s="8"/>
      <c r="AQ180" s="6"/>
      <c r="AR180" s="6" t="s">
        <v>73</v>
      </c>
      <c r="AS180" s="6"/>
      <c r="AT180" s="6"/>
      <c r="AU180" s="6"/>
      <c r="AV180" s="6"/>
      <c r="AW180" s="8" t="str">
        <f aca="false">IF(AV180="","",AV180+60)</f>
        <v/>
      </c>
      <c r="AX180" s="11" t="str">
        <f aca="true">IF(A180="","",IF(AND(AV180&lt;&gt;"",AW180&lt;TODAY(),OR(AH180="Interés",AH180="Cotizado")),"Sí","No"))</f>
        <v/>
      </c>
      <c r="AY180" s="6"/>
      <c r="AZ180" s="6"/>
      <c r="BA180" s="6"/>
      <c r="BB180" s="6"/>
      <c r="BC180" s="4"/>
      <c r="BD180" s="12"/>
    </row>
    <row r="181" customFormat="false" ht="23.8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2" t="n">
        <f aca="false">SUM(F181:I181)</f>
        <v>0</v>
      </c>
      <c r="K181" s="6"/>
      <c r="L181" s="6"/>
      <c r="M181" s="7"/>
      <c r="N181" s="7"/>
      <c r="O181" s="8"/>
      <c r="P181" s="8"/>
      <c r="Q181" s="8"/>
      <c r="R181" s="8"/>
      <c r="S181" s="8"/>
      <c r="T181" s="6"/>
      <c r="U181" s="6"/>
      <c r="V181" s="6"/>
      <c r="W181" s="6"/>
      <c r="X181" s="8"/>
      <c r="Y181" s="6"/>
      <c r="Z181" s="6"/>
      <c r="AA181" s="7"/>
      <c r="AB181" s="9" t="str">
        <f aca="false">IF(N181="","",MAX(0,N181-AA181))</f>
        <v/>
      </c>
      <c r="AC181" s="10" t="str">
        <f aca="false">IF(N181="","",IF(N181=0,0,AA181/N181))</f>
        <v/>
      </c>
      <c r="AD181" s="8"/>
      <c r="AE181" s="6"/>
      <c r="AF181" s="6"/>
      <c r="AG181" s="6"/>
      <c r="AH181" s="6"/>
      <c r="AI181" s="2" t="str">
        <f aca="false">IF(A181="","",IF(V181="Yes",IF(U181="Yes",1,2),""))</f>
        <v/>
      </c>
      <c r="AJ181" s="8"/>
      <c r="AK181" s="2" t="str">
        <f aca="false">IF(A181="","",IF(AJ181="","",COUNTIFS($E$2:$E$201,E181,$AI$2:$AI$201,AI181,$AJ$2:$AJ$201,"&lt;="&amp;AJ181)))</f>
        <v/>
      </c>
      <c r="AL181" s="2" t="str">
        <f aca="false">IF(A181="","",IF(AH181&lt;&gt;"Confirmado","No",IF(AG181="CO/SO₂ simultáneos",IF(OR(COUNTIFS($E$2:$E$201,E181,$AH$2:$AH$201,"Confirmado",$AG$2:$AG$201,"CO/SO₂ simultáneos")=3,SUMIFS($J$2:$J$201,$E$2:$E$201,E181,$AH$2:$AH$201,"Confirmado",$AG$2:$AG$201,"CO/SO₂ simultáneos")=6),"Sí","No"),IF(OR(AND(F181&gt;0,SUMIFS($F$2:$F$201,$E$2:$E$201,E181,$AH$2:$AH$201,"Confirmado")=4),AND(G181&gt;0,SUMIFS($G$2:$G$201,$E$2:$E$201,E181,$AH$2:$AH$201,"Confirmado")=4),AND(H181&gt;0,SUMIFS($H$2:$H$201,$E$2:$E$201,E181,$AH$2:$AH$201,"Confirmado")=4),AND(I181&gt;0,SUMIFS($I$2:$I$201,$E$2:$E$201,E181,$AH$2:$AH$201,"Confirmado")=4)),"Sí","No"))))</f>
        <v/>
      </c>
      <c r="AM181" s="2" t="str">
        <f aca="false">IF(A181="","",IF(AH181&lt;&gt;"Confirmado","",IF(AG181="CO/SO₂ simultáneos",IF(OR(COUNTIFS($E$2:$E$201,E181,$AH$2:$AH$201,"Confirmado",$AG$2:$AG$201,"CO/SO₂ simultáneos")&gt;3,SUMIFS($J$2:$J$201,$E$2:$E$201,E181,$AH$2:$AH$201,"Confirmado",$AG$2:$AG$201,"CO/SO₂ simultáneos")&gt;6),"CAPACIDAD EXCEDIDA","OK"),IF(OR(SUMIFS($F$2:$F$201,$E$2:$E$201,E181,$AH$2:$AH$201,"Confirmado")&gt;4,SUMIFS($G$2:$G$201,$E$2:$E$201,E181,$AH$2:$AH$201,"Confirmado")&gt;4,SUMIFS($H$2:$H$201,$E$2:$E$201,E181,$AH$2:$AH$201,"Confirmado")&gt;4,SUMIFS($I$2:$I$201,$E$2:$E$201,E181,$AH$2:$AH$201,"Confirmado")&gt;4),"CAPACIDAD EXCEDIDA","OK"))))</f>
        <v/>
      </c>
      <c r="AN181" s="2" t="str">
        <f aca="true">IF(A181="","",IF(AND(AC181&lt;1,Q181&lt;TODAY(),AH181="Aceptado pendiente de pago/orden"),"PLAZO VENCIDO",IF(AND(AC181&lt;1,AD181&lt;&gt;"",AD181&lt;TODAY()),"VENCIDO","OK")))</f>
        <v/>
      </c>
      <c r="AO181" s="6"/>
      <c r="AP181" s="8"/>
      <c r="AQ181" s="6"/>
      <c r="AR181" s="6" t="s">
        <v>73</v>
      </c>
      <c r="AS181" s="6"/>
      <c r="AT181" s="6"/>
      <c r="AU181" s="6"/>
      <c r="AV181" s="6"/>
      <c r="AW181" s="8" t="str">
        <f aca="false">IF(AV181="","",AV181+60)</f>
        <v/>
      </c>
      <c r="AX181" s="11" t="str">
        <f aca="true">IF(A181="","",IF(AND(AV181&lt;&gt;"",AW181&lt;TODAY(),OR(AH181="Interés",AH181="Cotizado")),"Sí","No"))</f>
        <v/>
      </c>
      <c r="AY181" s="6"/>
      <c r="AZ181" s="6"/>
      <c r="BA181" s="6"/>
      <c r="BB181" s="6"/>
      <c r="BC181" s="4"/>
      <c r="BD181" s="12"/>
    </row>
    <row r="182" customFormat="false" ht="23.8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2" t="n">
        <f aca="false">SUM(F182:I182)</f>
        <v>0</v>
      </c>
      <c r="K182" s="6"/>
      <c r="L182" s="6"/>
      <c r="M182" s="7"/>
      <c r="N182" s="7"/>
      <c r="O182" s="8"/>
      <c r="P182" s="8"/>
      <c r="Q182" s="8"/>
      <c r="R182" s="8"/>
      <c r="S182" s="8"/>
      <c r="T182" s="6"/>
      <c r="U182" s="6"/>
      <c r="V182" s="6"/>
      <c r="W182" s="6"/>
      <c r="X182" s="8"/>
      <c r="Y182" s="6"/>
      <c r="Z182" s="6"/>
      <c r="AA182" s="7"/>
      <c r="AB182" s="9" t="str">
        <f aca="false">IF(N182="","",MAX(0,N182-AA182))</f>
        <v/>
      </c>
      <c r="AC182" s="10" t="str">
        <f aca="false">IF(N182="","",IF(N182=0,0,AA182/N182))</f>
        <v/>
      </c>
      <c r="AD182" s="8"/>
      <c r="AE182" s="6"/>
      <c r="AF182" s="6"/>
      <c r="AG182" s="6"/>
      <c r="AH182" s="6"/>
      <c r="AI182" s="2" t="str">
        <f aca="false">IF(A182="","",IF(V182="Yes",IF(U182="Yes",1,2),""))</f>
        <v/>
      </c>
      <c r="AJ182" s="8"/>
      <c r="AK182" s="2" t="str">
        <f aca="false">IF(A182="","",IF(AJ182="","",COUNTIFS($E$2:$E$201,E182,$AI$2:$AI$201,AI182,$AJ$2:$AJ$201,"&lt;="&amp;AJ182)))</f>
        <v/>
      </c>
      <c r="AL182" s="2" t="str">
        <f aca="false">IF(A182="","",IF(AH182&lt;&gt;"Confirmado","No",IF(AG182="CO/SO₂ simultáneos",IF(OR(COUNTIFS($E$2:$E$201,E182,$AH$2:$AH$201,"Confirmado",$AG$2:$AG$201,"CO/SO₂ simultáneos")=3,SUMIFS($J$2:$J$201,$E$2:$E$201,E182,$AH$2:$AH$201,"Confirmado",$AG$2:$AG$201,"CO/SO₂ simultáneos")=6),"Sí","No"),IF(OR(AND(F182&gt;0,SUMIFS($F$2:$F$201,$E$2:$E$201,E182,$AH$2:$AH$201,"Confirmado")=4),AND(G182&gt;0,SUMIFS($G$2:$G$201,$E$2:$E$201,E182,$AH$2:$AH$201,"Confirmado")=4),AND(H182&gt;0,SUMIFS($H$2:$H$201,$E$2:$E$201,E182,$AH$2:$AH$201,"Confirmado")=4),AND(I182&gt;0,SUMIFS($I$2:$I$201,$E$2:$E$201,E182,$AH$2:$AH$201,"Confirmado")=4)),"Sí","No"))))</f>
        <v/>
      </c>
      <c r="AM182" s="2" t="str">
        <f aca="false">IF(A182="","",IF(AH182&lt;&gt;"Confirmado","",IF(AG182="CO/SO₂ simultáneos",IF(OR(COUNTIFS($E$2:$E$201,E182,$AH$2:$AH$201,"Confirmado",$AG$2:$AG$201,"CO/SO₂ simultáneos")&gt;3,SUMIFS($J$2:$J$201,$E$2:$E$201,E182,$AH$2:$AH$201,"Confirmado",$AG$2:$AG$201,"CO/SO₂ simultáneos")&gt;6),"CAPACIDAD EXCEDIDA","OK"),IF(OR(SUMIFS($F$2:$F$201,$E$2:$E$201,E182,$AH$2:$AH$201,"Confirmado")&gt;4,SUMIFS($G$2:$G$201,$E$2:$E$201,E182,$AH$2:$AH$201,"Confirmado")&gt;4,SUMIFS($H$2:$H$201,$E$2:$E$201,E182,$AH$2:$AH$201,"Confirmado")&gt;4,SUMIFS($I$2:$I$201,$E$2:$E$201,E182,$AH$2:$AH$201,"Confirmado")&gt;4),"CAPACIDAD EXCEDIDA","OK"))))</f>
        <v/>
      </c>
      <c r="AN182" s="2" t="str">
        <f aca="true">IF(A182="","",IF(AND(AC182&lt;1,Q182&lt;TODAY(),AH182="Aceptado pendiente de pago/orden"),"PLAZO VENCIDO",IF(AND(AC182&lt;1,AD182&lt;&gt;"",AD182&lt;TODAY()),"VENCIDO","OK")))</f>
        <v/>
      </c>
      <c r="AO182" s="6"/>
      <c r="AP182" s="8"/>
      <c r="AQ182" s="6"/>
      <c r="AR182" s="6" t="s">
        <v>73</v>
      </c>
      <c r="AS182" s="6"/>
      <c r="AT182" s="6"/>
      <c r="AU182" s="6"/>
      <c r="AV182" s="6"/>
      <c r="AW182" s="8" t="str">
        <f aca="false">IF(AV182="","",AV182+60)</f>
        <v/>
      </c>
      <c r="AX182" s="11" t="str">
        <f aca="true">IF(A182="","",IF(AND(AV182&lt;&gt;"",AW182&lt;TODAY(),OR(AH182="Interés",AH182="Cotizado")),"Sí","No"))</f>
        <v/>
      </c>
      <c r="AY182" s="6"/>
      <c r="AZ182" s="6"/>
      <c r="BA182" s="6"/>
      <c r="BB182" s="6"/>
      <c r="BC182" s="4"/>
      <c r="BD182" s="12"/>
    </row>
    <row r="183" customFormat="false" ht="23.8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2" t="n">
        <f aca="false">SUM(F183:I183)</f>
        <v>0</v>
      </c>
      <c r="K183" s="6"/>
      <c r="L183" s="6"/>
      <c r="M183" s="7"/>
      <c r="N183" s="7"/>
      <c r="O183" s="8"/>
      <c r="P183" s="8"/>
      <c r="Q183" s="8"/>
      <c r="R183" s="8"/>
      <c r="S183" s="8"/>
      <c r="T183" s="6"/>
      <c r="U183" s="6"/>
      <c r="V183" s="6"/>
      <c r="W183" s="6"/>
      <c r="X183" s="8"/>
      <c r="Y183" s="6"/>
      <c r="Z183" s="6"/>
      <c r="AA183" s="7"/>
      <c r="AB183" s="9" t="str">
        <f aca="false">IF(N183="","",MAX(0,N183-AA183))</f>
        <v/>
      </c>
      <c r="AC183" s="10" t="str">
        <f aca="false">IF(N183="","",IF(N183=0,0,AA183/N183))</f>
        <v/>
      </c>
      <c r="AD183" s="8"/>
      <c r="AE183" s="6"/>
      <c r="AF183" s="6"/>
      <c r="AG183" s="6"/>
      <c r="AH183" s="6"/>
      <c r="AI183" s="2" t="str">
        <f aca="false">IF(A183="","",IF(V183="Yes",IF(U183="Yes",1,2),""))</f>
        <v/>
      </c>
      <c r="AJ183" s="8"/>
      <c r="AK183" s="2" t="str">
        <f aca="false">IF(A183="","",IF(AJ183="","",COUNTIFS($E$2:$E$201,E183,$AI$2:$AI$201,AI183,$AJ$2:$AJ$201,"&lt;="&amp;AJ183)))</f>
        <v/>
      </c>
      <c r="AL183" s="2" t="str">
        <f aca="false">IF(A183="","",IF(AH183&lt;&gt;"Confirmado","No",IF(AG183="CO/SO₂ simultáneos",IF(OR(COUNTIFS($E$2:$E$201,E183,$AH$2:$AH$201,"Confirmado",$AG$2:$AG$201,"CO/SO₂ simultáneos")=3,SUMIFS($J$2:$J$201,$E$2:$E$201,E183,$AH$2:$AH$201,"Confirmado",$AG$2:$AG$201,"CO/SO₂ simultáneos")=6),"Sí","No"),IF(OR(AND(F183&gt;0,SUMIFS($F$2:$F$201,$E$2:$E$201,E183,$AH$2:$AH$201,"Confirmado")=4),AND(G183&gt;0,SUMIFS($G$2:$G$201,$E$2:$E$201,E183,$AH$2:$AH$201,"Confirmado")=4),AND(H183&gt;0,SUMIFS($H$2:$H$201,$E$2:$E$201,E183,$AH$2:$AH$201,"Confirmado")=4),AND(I183&gt;0,SUMIFS($I$2:$I$201,$E$2:$E$201,E183,$AH$2:$AH$201,"Confirmado")=4)),"Sí","No"))))</f>
        <v/>
      </c>
      <c r="AM183" s="2" t="str">
        <f aca="false">IF(A183="","",IF(AH183&lt;&gt;"Confirmado","",IF(AG183="CO/SO₂ simultáneos",IF(OR(COUNTIFS($E$2:$E$201,E183,$AH$2:$AH$201,"Confirmado",$AG$2:$AG$201,"CO/SO₂ simultáneos")&gt;3,SUMIFS($J$2:$J$201,$E$2:$E$201,E183,$AH$2:$AH$201,"Confirmado",$AG$2:$AG$201,"CO/SO₂ simultáneos")&gt;6),"CAPACIDAD EXCEDIDA","OK"),IF(OR(SUMIFS($F$2:$F$201,$E$2:$E$201,E183,$AH$2:$AH$201,"Confirmado")&gt;4,SUMIFS($G$2:$G$201,$E$2:$E$201,E183,$AH$2:$AH$201,"Confirmado")&gt;4,SUMIFS($H$2:$H$201,$E$2:$E$201,E183,$AH$2:$AH$201,"Confirmado")&gt;4,SUMIFS($I$2:$I$201,$E$2:$E$201,E183,$AH$2:$AH$201,"Confirmado")&gt;4),"CAPACIDAD EXCEDIDA","OK"))))</f>
        <v/>
      </c>
      <c r="AN183" s="2" t="str">
        <f aca="true">IF(A183="","",IF(AND(AC183&lt;1,Q183&lt;TODAY(),AH183="Aceptado pendiente de pago/orden"),"PLAZO VENCIDO",IF(AND(AC183&lt;1,AD183&lt;&gt;"",AD183&lt;TODAY()),"VENCIDO","OK")))</f>
        <v/>
      </c>
      <c r="AO183" s="6"/>
      <c r="AP183" s="8"/>
      <c r="AQ183" s="6"/>
      <c r="AR183" s="6" t="s">
        <v>73</v>
      </c>
      <c r="AS183" s="6"/>
      <c r="AT183" s="6"/>
      <c r="AU183" s="6"/>
      <c r="AV183" s="6"/>
      <c r="AW183" s="8" t="str">
        <f aca="false">IF(AV183="","",AV183+60)</f>
        <v/>
      </c>
      <c r="AX183" s="11" t="str">
        <f aca="true">IF(A183="","",IF(AND(AV183&lt;&gt;"",AW183&lt;TODAY(),OR(AH183="Interés",AH183="Cotizado")),"Sí","No"))</f>
        <v/>
      </c>
      <c r="AY183" s="6"/>
      <c r="AZ183" s="6"/>
      <c r="BA183" s="6"/>
      <c r="BB183" s="6"/>
      <c r="BC183" s="4"/>
      <c r="BD183" s="12"/>
    </row>
    <row r="184" customFormat="false" ht="23.8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2" t="n">
        <f aca="false">SUM(F184:I184)</f>
        <v>0</v>
      </c>
      <c r="K184" s="6"/>
      <c r="L184" s="6"/>
      <c r="M184" s="7"/>
      <c r="N184" s="7"/>
      <c r="O184" s="8"/>
      <c r="P184" s="8"/>
      <c r="Q184" s="8"/>
      <c r="R184" s="8"/>
      <c r="S184" s="8"/>
      <c r="T184" s="6"/>
      <c r="U184" s="6"/>
      <c r="V184" s="6"/>
      <c r="W184" s="6"/>
      <c r="X184" s="8"/>
      <c r="Y184" s="6"/>
      <c r="Z184" s="6"/>
      <c r="AA184" s="7"/>
      <c r="AB184" s="9" t="str">
        <f aca="false">IF(N184="","",MAX(0,N184-AA184))</f>
        <v/>
      </c>
      <c r="AC184" s="10" t="str">
        <f aca="false">IF(N184="","",IF(N184=0,0,AA184/N184))</f>
        <v/>
      </c>
      <c r="AD184" s="8"/>
      <c r="AE184" s="6"/>
      <c r="AF184" s="6"/>
      <c r="AG184" s="6"/>
      <c r="AH184" s="6"/>
      <c r="AI184" s="2" t="str">
        <f aca="false">IF(A184="","",IF(V184="Yes",IF(U184="Yes",1,2),""))</f>
        <v/>
      </c>
      <c r="AJ184" s="8"/>
      <c r="AK184" s="2" t="str">
        <f aca="false">IF(A184="","",IF(AJ184="","",COUNTIFS($E$2:$E$201,E184,$AI$2:$AI$201,AI184,$AJ$2:$AJ$201,"&lt;="&amp;AJ184)))</f>
        <v/>
      </c>
      <c r="AL184" s="2" t="str">
        <f aca="false">IF(A184="","",IF(AH184&lt;&gt;"Confirmado","No",IF(AG184="CO/SO₂ simultáneos",IF(OR(COUNTIFS($E$2:$E$201,E184,$AH$2:$AH$201,"Confirmado",$AG$2:$AG$201,"CO/SO₂ simultáneos")=3,SUMIFS($J$2:$J$201,$E$2:$E$201,E184,$AH$2:$AH$201,"Confirmado",$AG$2:$AG$201,"CO/SO₂ simultáneos")=6),"Sí","No"),IF(OR(AND(F184&gt;0,SUMIFS($F$2:$F$201,$E$2:$E$201,E184,$AH$2:$AH$201,"Confirmado")=4),AND(G184&gt;0,SUMIFS($G$2:$G$201,$E$2:$E$201,E184,$AH$2:$AH$201,"Confirmado")=4),AND(H184&gt;0,SUMIFS($H$2:$H$201,$E$2:$E$201,E184,$AH$2:$AH$201,"Confirmado")=4),AND(I184&gt;0,SUMIFS($I$2:$I$201,$E$2:$E$201,E184,$AH$2:$AH$201,"Confirmado")=4)),"Sí","No"))))</f>
        <v/>
      </c>
      <c r="AM184" s="2" t="str">
        <f aca="false">IF(A184="","",IF(AH184&lt;&gt;"Confirmado","",IF(AG184="CO/SO₂ simultáneos",IF(OR(COUNTIFS($E$2:$E$201,E184,$AH$2:$AH$201,"Confirmado",$AG$2:$AG$201,"CO/SO₂ simultáneos")&gt;3,SUMIFS($J$2:$J$201,$E$2:$E$201,E184,$AH$2:$AH$201,"Confirmado",$AG$2:$AG$201,"CO/SO₂ simultáneos")&gt;6),"CAPACIDAD EXCEDIDA","OK"),IF(OR(SUMIFS($F$2:$F$201,$E$2:$E$201,E184,$AH$2:$AH$201,"Confirmado")&gt;4,SUMIFS($G$2:$G$201,$E$2:$E$201,E184,$AH$2:$AH$201,"Confirmado")&gt;4,SUMIFS($H$2:$H$201,$E$2:$E$201,E184,$AH$2:$AH$201,"Confirmado")&gt;4,SUMIFS($I$2:$I$201,$E$2:$E$201,E184,$AH$2:$AH$201,"Confirmado")&gt;4),"CAPACIDAD EXCEDIDA","OK"))))</f>
        <v/>
      </c>
      <c r="AN184" s="2" t="str">
        <f aca="true">IF(A184="","",IF(AND(AC184&lt;1,Q184&lt;TODAY(),AH184="Aceptado pendiente de pago/orden"),"PLAZO VENCIDO",IF(AND(AC184&lt;1,AD184&lt;&gt;"",AD184&lt;TODAY()),"VENCIDO","OK")))</f>
        <v/>
      </c>
      <c r="AO184" s="6"/>
      <c r="AP184" s="8"/>
      <c r="AQ184" s="6"/>
      <c r="AR184" s="6" t="s">
        <v>73</v>
      </c>
      <c r="AS184" s="6"/>
      <c r="AT184" s="6"/>
      <c r="AU184" s="6"/>
      <c r="AV184" s="6"/>
      <c r="AW184" s="8" t="str">
        <f aca="false">IF(AV184="","",AV184+60)</f>
        <v/>
      </c>
      <c r="AX184" s="11" t="str">
        <f aca="true">IF(A184="","",IF(AND(AV184&lt;&gt;"",AW184&lt;TODAY(),OR(AH184="Interés",AH184="Cotizado")),"Sí","No"))</f>
        <v/>
      </c>
      <c r="AY184" s="6"/>
      <c r="AZ184" s="6"/>
      <c r="BA184" s="6"/>
      <c r="BB184" s="6"/>
      <c r="BC184" s="4"/>
      <c r="BD184" s="12"/>
    </row>
    <row r="185" customFormat="false" ht="23.8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2" t="n">
        <f aca="false">SUM(F185:I185)</f>
        <v>0</v>
      </c>
      <c r="K185" s="6"/>
      <c r="L185" s="6"/>
      <c r="M185" s="7"/>
      <c r="N185" s="7"/>
      <c r="O185" s="8"/>
      <c r="P185" s="8"/>
      <c r="Q185" s="8"/>
      <c r="R185" s="8"/>
      <c r="S185" s="8"/>
      <c r="T185" s="6"/>
      <c r="U185" s="6"/>
      <c r="V185" s="6"/>
      <c r="W185" s="6"/>
      <c r="X185" s="8"/>
      <c r="Y185" s="6"/>
      <c r="Z185" s="6"/>
      <c r="AA185" s="7"/>
      <c r="AB185" s="9" t="str">
        <f aca="false">IF(N185="","",MAX(0,N185-AA185))</f>
        <v/>
      </c>
      <c r="AC185" s="10" t="str">
        <f aca="false">IF(N185="","",IF(N185=0,0,AA185/N185))</f>
        <v/>
      </c>
      <c r="AD185" s="8"/>
      <c r="AE185" s="6"/>
      <c r="AF185" s="6"/>
      <c r="AG185" s="6"/>
      <c r="AH185" s="6"/>
      <c r="AI185" s="2" t="str">
        <f aca="false">IF(A185="","",IF(V185="Yes",IF(U185="Yes",1,2),""))</f>
        <v/>
      </c>
      <c r="AJ185" s="8"/>
      <c r="AK185" s="2" t="str">
        <f aca="false">IF(A185="","",IF(AJ185="","",COUNTIFS($E$2:$E$201,E185,$AI$2:$AI$201,AI185,$AJ$2:$AJ$201,"&lt;="&amp;AJ185)))</f>
        <v/>
      </c>
      <c r="AL185" s="2" t="str">
        <f aca="false">IF(A185="","",IF(AH185&lt;&gt;"Confirmado","No",IF(AG185="CO/SO₂ simultáneos",IF(OR(COUNTIFS($E$2:$E$201,E185,$AH$2:$AH$201,"Confirmado",$AG$2:$AG$201,"CO/SO₂ simultáneos")=3,SUMIFS($J$2:$J$201,$E$2:$E$201,E185,$AH$2:$AH$201,"Confirmado",$AG$2:$AG$201,"CO/SO₂ simultáneos")=6),"Sí","No"),IF(OR(AND(F185&gt;0,SUMIFS($F$2:$F$201,$E$2:$E$201,E185,$AH$2:$AH$201,"Confirmado")=4),AND(G185&gt;0,SUMIFS($G$2:$G$201,$E$2:$E$201,E185,$AH$2:$AH$201,"Confirmado")=4),AND(H185&gt;0,SUMIFS($H$2:$H$201,$E$2:$E$201,E185,$AH$2:$AH$201,"Confirmado")=4),AND(I185&gt;0,SUMIFS($I$2:$I$201,$E$2:$E$201,E185,$AH$2:$AH$201,"Confirmado")=4)),"Sí","No"))))</f>
        <v/>
      </c>
      <c r="AM185" s="2" t="str">
        <f aca="false">IF(A185="","",IF(AH185&lt;&gt;"Confirmado","",IF(AG185="CO/SO₂ simultáneos",IF(OR(COUNTIFS($E$2:$E$201,E185,$AH$2:$AH$201,"Confirmado",$AG$2:$AG$201,"CO/SO₂ simultáneos")&gt;3,SUMIFS($J$2:$J$201,$E$2:$E$201,E185,$AH$2:$AH$201,"Confirmado",$AG$2:$AG$201,"CO/SO₂ simultáneos")&gt;6),"CAPACIDAD EXCEDIDA","OK"),IF(OR(SUMIFS($F$2:$F$201,$E$2:$E$201,E185,$AH$2:$AH$201,"Confirmado")&gt;4,SUMIFS($G$2:$G$201,$E$2:$E$201,E185,$AH$2:$AH$201,"Confirmado")&gt;4,SUMIFS($H$2:$H$201,$E$2:$E$201,E185,$AH$2:$AH$201,"Confirmado")&gt;4,SUMIFS($I$2:$I$201,$E$2:$E$201,E185,$AH$2:$AH$201,"Confirmado")&gt;4),"CAPACIDAD EXCEDIDA","OK"))))</f>
        <v/>
      </c>
      <c r="AN185" s="2" t="str">
        <f aca="true">IF(A185="","",IF(AND(AC185&lt;1,Q185&lt;TODAY(),AH185="Aceptado pendiente de pago/orden"),"PLAZO VENCIDO",IF(AND(AC185&lt;1,AD185&lt;&gt;"",AD185&lt;TODAY()),"VENCIDO","OK")))</f>
        <v/>
      </c>
      <c r="AO185" s="6"/>
      <c r="AP185" s="8"/>
      <c r="AQ185" s="6"/>
      <c r="AR185" s="6" t="s">
        <v>73</v>
      </c>
      <c r="AS185" s="6"/>
      <c r="AT185" s="6"/>
      <c r="AU185" s="6"/>
      <c r="AV185" s="6"/>
      <c r="AW185" s="8" t="str">
        <f aca="false">IF(AV185="","",AV185+60)</f>
        <v/>
      </c>
      <c r="AX185" s="11" t="str">
        <f aca="true">IF(A185="","",IF(AND(AV185&lt;&gt;"",AW185&lt;TODAY(),OR(AH185="Interés",AH185="Cotizado")),"Sí","No"))</f>
        <v/>
      </c>
      <c r="AY185" s="6"/>
      <c r="AZ185" s="6"/>
      <c r="BA185" s="6"/>
      <c r="BB185" s="6"/>
      <c r="BC185" s="4"/>
      <c r="BD185" s="12"/>
    </row>
    <row r="186" customFormat="false" ht="23.8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2" t="n">
        <f aca="false">SUM(F186:I186)</f>
        <v>0</v>
      </c>
      <c r="K186" s="6"/>
      <c r="L186" s="6"/>
      <c r="M186" s="7"/>
      <c r="N186" s="7"/>
      <c r="O186" s="8"/>
      <c r="P186" s="8"/>
      <c r="Q186" s="8"/>
      <c r="R186" s="8"/>
      <c r="S186" s="8"/>
      <c r="T186" s="6"/>
      <c r="U186" s="6"/>
      <c r="V186" s="6"/>
      <c r="W186" s="6"/>
      <c r="X186" s="8"/>
      <c r="Y186" s="6"/>
      <c r="Z186" s="6"/>
      <c r="AA186" s="7"/>
      <c r="AB186" s="9" t="str">
        <f aca="false">IF(N186="","",MAX(0,N186-AA186))</f>
        <v/>
      </c>
      <c r="AC186" s="10" t="str">
        <f aca="false">IF(N186="","",IF(N186=0,0,AA186/N186))</f>
        <v/>
      </c>
      <c r="AD186" s="8"/>
      <c r="AE186" s="6"/>
      <c r="AF186" s="6"/>
      <c r="AG186" s="6"/>
      <c r="AH186" s="6"/>
      <c r="AI186" s="2" t="str">
        <f aca="false">IF(A186="","",IF(V186="Yes",IF(U186="Yes",1,2),""))</f>
        <v/>
      </c>
      <c r="AJ186" s="8"/>
      <c r="AK186" s="2" t="str">
        <f aca="false">IF(A186="","",IF(AJ186="","",COUNTIFS($E$2:$E$201,E186,$AI$2:$AI$201,AI186,$AJ$2:$AJ$201,"&lt;="&amp;AJ186)))</f>
        <v/>
      </c>
      <c r="AL186" s="2" t="str">
        <f aca="false">IF(A186="","",IF(AH186&lt;&gt;"Confirmado","No",IF(AG186="CO/SO₂ simultáneos",IF(OR(COUNTIFS($E$2:$E$201,E186,$AH$2:$AH$201,"Confirmado",$AG$2:$AG$201,"CO/SO₂ simultáneos")=3,SUMIFS($J$2:$J$201,$E$2:$E$201,E186,$AH$2:$AH$201,"Confirmado",$AG$2:$AG$201,"CO/SO₂ simultáneos")=6),"Sí","No"),IF(OR(AND(F186&gt;0,SUMIFS($F$2:$F$201,$E$2:$E$201,E186,$AH$2:$AH$201,"Confirmado")=4),AND(G186&gt;0,SUMIFS($G$2:$G$201,$E$2:$E$201,E186,$AH$2:$AH$201,"Confirmado")=4),AND(H186&gt;0,SUMIFS($H$2:$H$201,$E$2:$E$201,E186,$AH$2:$AH$201,"Confirmado")=4),AND(I186&gt;0,SUMIFS($I$2:$I$201,$E$2:$E$201,E186,$AH$2:$AH$201,"Confirmado")=4)),"Sí","No"))))</f>
        <v/>
      </c>
      <c r="AM186" s="2" t="str">
        <f aca="false">IF(A186="","",IF(AH186&lt;&gt;"Confirmado","",IF(AG186="CO/SO₂ simultáneos",IF(OR(COUNTIFS($E$2:$E$201,E186,$AH$2:$AH$201,"Confirmado",$AG$2:$AG$201,"CO/SO₂ simultáneos")&gt;3,SUMIFS($J$2:$J$201,$E$2:$E$201,E186,$AH$2:$AH$201,"Confirmado",$AG$2:$AG$201,"CO/SO₂ simultáneos")&gt;6),"CAPACIDAD EXCEDIDA","OK"),IF(OR(SUMIFS($F$2:$F$201,$E$2:$E$201,E186,$AH$2:$AH$201,"Confirmado")&gt;4,SUMIFS($G$2:$G$201,$E$2:$E$201,E186,$AH$2:$AH$201,"Confirmado")&gt;4,SUMIFS($H$2:$H$201,$E$2:$E$201,E186,$AH$2:$AH$201,"Confirmado")&gt;4,SUMIFS($I$2:$I$201,$E$2:$E$201,E186,$AH$2:$AH$201,"Confirmado")&gt;4),"CAPACIDAD EXCEDIDA","OK"))))</f>
        <v/>
      </c>
      <c r="AN186" s="2" t="str">
        <f aca="true">IF(A186="","",IF(AND(AC186&lt;1,Q186&lt;TODAY(),AH186="Aceptado pendiente de pago/orden"),"PLAZO VENCIDO",IF(AND(AC186&lt;1,AD186&lt;&gt;"",AD186&lt;TODAY()),"VENCIDO","OK")))</f>
        <v/>
      </c>
      <c r="AO186" s="6"/>
      <c r="AP186" s="8"/>
      <c r="AQ186" s="6"/>
      <c r="AR186" s="6" t="s">
        <v>73</v>
      </c>
      <c r="AS186" s="6"/>
      <c r="AT186" s="6"/>
      <c r="AU186" s="6"/>
      <c r="AV186" s="6"/>
      <c r="AW186" s="8" t="str">
        <f aca="false">IF(AV186="","",AV186+60)</f>
        <v/>
      </c>
      <c r="AX186" s="11" t="str">
        <f aca="true">IF(A186="","",IF(AND(AV186&lt;&gt;"",AW186&lt;TODAY(),OR(AH186="Interés",AH186="Cotizado")),"Sí","No"))</f>
        <v/>
      </c>
      <c r="AY186" s="6"/>
      <c r="AZ186" s="6"/>
      <c r="BA186" s="6"/>
      <c r="BB186" s="6"/>
      <c r="BC186" s="4"/>
      <c r="BD186" s="12"/>
    </row>
    <row r="187" customFormat="false" ht="23.8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2" t="n">
        <f aca="false">SUM(F187:I187)</f>
        <v>0</v>
      </c>
      <c r="K187" s="6"/>
      <c r="L187" s="6"/>
      <c r="M187" s="7"/>
      <c r="N187" s="7"/>
      <c r="O187" s="8"/>
      <c r="P187" s="8"/>
      <c r="Q187" s="8"/>
      <c r="R187" s="8"/>
      <c r="S187" s="8"/>
      <c r="T187" s="6"/>
      <c r="U187" s="6"/>
      <c r="V187" s="6"/>
      <c r="W187" s="6"/>
      <c r="X187" s="8"/>
      <c r="Y187" s="6"/>
      <c r="Z187" s="6"/>
      <c r="AA187" s="7"/>
      <c r="AB187" s="9" t="str">
        <f aca="false">IF(N187="","",MAX(0,N187-AA187))</f>
        <v/>
      </c>
      <c r="AC187" s="10" t="str">
        <f aca="false">IF(N187="","",IF(N187=0,0,AA187/N187))</f>
        <v/>
      </c>
      <c r="AD187" s="8"/>
      <c r="AE187" s="6"/>
      <c r="AF187" s="6"/>
      <c r="AG187" s="6"/>
      <c r="AH187" s="6"/>
      <c r="AI187" s="2" t="str">
        <f aca="false">IF(A187="","",IF(V187="Yes",IF(U187="Yes",1,2),""))</f>
        <v/>
      </c>
      <c r="AJ187" s="8"/>
      <c r="AK187" s="2" t="str">
        <f aca="false">IF(A187="","",IF(AJ187="","",COUNTIFS($E$2:$E$201,E187,$AI$2:$AI$201,AI187,$AJ$2:$AJ$201,"&lt;="&amp;AJ187)))</f>
        <v/>
      </c>
      <c r="AL187" s="2" t="str">
        <f aca="false">IF(A187="","",IF(AH187&lt;&gt;"Confirmado","No",IF(AG187="CO/SO₂ simultáneos",IF(OR(COUNTIFS($E$2:$E$201,E187,$AH$2:$AH$201,"Confirmado",$AG$2:$AG$201,"CO/SO₂ simultáneos")=3,SUMIFS($J$2:$J$201,$E$2:$E$201,E187,$AH$2:$AH$201,"Confirmado",$AG$2:$AG$201,"CO/SO₂ simultáneos")=6),"Sí","No"),IF(OR(AND(F187&gt;0,SUMIFS($F$2:$F$201,$E$2:$E$201,E187,$AH$2:$AH$201,"Confirmado")=4),AND(G187&gt;0,SUMIFS($G$2:$G$201,$E$2:$E$201,E187,$AH$2:$AH$201,"Confirmado")=4),AND(H187&gt;0,SUMIFS($H$2:$H$201,$E$2:$E$201,E187,$AH$2:$AH$201,"Confirmado")=4),AND(I187&gt;0,SUMIFS($I$2:$I$201,$E$2:$E$201,E187,$AH$2:$AH$201,"Confirmado")=4)),"Sí","No"))))</f>
        <v/>
      </c>
      <c r="AM187" s="2" t="str">
        <f aca="false">IF(A187="","",IF(AH187&lt;&gt;"Confirmado","",IF(AG187="CO/SO₂ simultáneos",IF(OR(COUNTIFS($E$2:$E$201,E187,$AH$2:$AH$201,"Confirmado",$AG$2:$AG$201,"CO/SO₂ simultáneos")&gt;3,SUMIFS($J$2:$J$201,$E$2:$E$201,E187,$AH$2:$AH$201,"Confirmado",$AG$2:$AG$201,"CO/SO₂ simultáneos")&gt;6),"CAPACIDAD EXCEDIDA","OK"),IF(OR(SUMIFS($F$2:$F$201,$E$2:$E$201,E187,$AH$2:$AH$201,"Confirmado")&gt;4,SUMIFS($G$2:$G$201,$E$2:$E$201,E187,$AH$2:$AH$201,"Confirmado")&gt;4,SUMIFS($H$2:$H$201,$E$2:$E$201,E187,$AH$2:$AH$201,"Confirmado")&gt;4,SUMIFS($I$2:$I$201,$E$2:$E$201,E187,$AH$2:$AH$201,"Confirmado")&gt;4),"CAPACIDAD EXCEDIDA","OK"))))</f>
        <v/>
      </c>
      <c r="AN187" s="2" t="str">
        <f aca="true">IF(A187="","",IF(AND(AC187&lt;1,Q187&lt;TODAY(),AH187="Aceptado pendiente de pago/orden"),"PLAZO VENCIDO",IF(AND(AC187&lt;1,AD187&lt;&gt;"",AD187&lt;TODAY()),"VENCIDO","OK")))</f>
        <v/>
      </c>
      <c r="AO187" s="6"/>
      <c r="AP187" s="8"/>
      <c r="AQ187" s="6"/>
      <c r="AR187" s="6" t="s">
        <v>73</v>
      </c>
      <c r="AS187" s="6"/>
      <c r="AT187" s="6"/>
      <c r="AU187" s="6"/>
      <c r="AV187" s="6"/>
      <c r="AW187" s="8" t="str">
        <f aca="false">IF(AV187="","",AV187+60)</f>
        <v/>
      </c>
      <c r="AX187" s="11" t="str">
        <f aca="true">IF(A187="","",IF(AND(AV187&lt;&gt;"",AW187&lt;TODAY(),OR(AH187="Interés",AH187="Cotizado")),"Sí","No"))</f>
        <v/>
      </c>
      <c r="AY187" s="6"/>
      <c r="AZ187" s="6"/>
      <c r="BA187" s="6"/>
      <c r="BB187" s="6"/>
      <c r="BC187" s="4"/>
      <c r="BD187" s="12"/>
    </row>
    <row r="188" customFormat="false" ht="23.8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2" t="n">
        <f aca="false">SUM(F188:I188)</f>
        <v>0</v>
      </c>
      <c r="K188" s="6"/>
      <c r="L188" s="6"/>
      <c r="M188" s="7"/>
      <c r="N188" s="7"/>
      <c r="O188" s="8"/>
      <c r="P188" s="8"/>
      <c r="Q188" s="8"/>
      <c r="R188" s="8"/>
      <c r="S188" s="8"/>
      <c r="T188" s="6"/>
      <c r="U188" s="6"/>
      <c r="V188" s="6"/>
      <c r="W188" s="6"/>
      <c r="X188" s="8"/>
      <c r="Y188" s="6"/>
      <c r="Z188" s="6"/>
      <c r="AA188" s="7"/>
      <c r="AB188" s="9" t="str">
        <f aca="false">IF(N188="","",MAX(0,N188-AA188))</f>
        <v/>
      </c>
      <c r="AC188" s="10" t="str">
        <f aca="false">IF(N188="","",IF(N188=0,0,AA188/N188))</f>
        <v/>
      </c>
      <c r="AD188" s="8"/>
      <c r="AE188" s="6"/>
      <c r="AF188" s="6"/>
      <c r="AG188" s="6"/>
      <c r="AH188" s="6"/>
      <c r="AI188" s="2" t="str">
        <f aca="false">IF(A188="","",IF(V188="Yes",IF(U188="Yes",1,2),""))</f>
        <v/>
      </c>
      <c r="AJ188" s="8"/>
      <c r="AK188" s="2" t="str">
        <f aca="false">IF(A188="","",IF(AJ188="","",COUNTIFS($E$2:$E$201,E188,$AI$2:$AI$201,AI188,$AJ$2:$AJ$201,"&lt;="&amp;AJ188)))</f>
        <v/>
      </c>
      <c r="AL188" s="2" t="str">
        <f aca="false">IF(A188="","",IF(AH188&lt;&gt;"Confirmado","No",IF(AG188="CO/SO₂ simultáneos",IF(OR(COUNTIFS($E$2:$E$201,E188,$AH$2:$AH$201,"Confirmado",$AG$2:$AG$201,"CO/SO₂ simultáneos")=3,SUMIFS($J$2:$J$201,$E$2:$E$201,E188,$AH$2:$AH$201,"Confirmado",$AG$2:$AG$201,"CO/SO₂ simultáneos")=6),"Sí","No"),IF(OR(AND(F188&gt;0,SUMIFS($F$2:$F$201,$E$2:$E$201,E188,$AH$2:$AH$201,"Confirmado")=4),AND(G188&gt;0,SUMIFS($G$2:$G$201,$E$2:$E$201,E188,$AH$2:$AH$201,"Confirmado")=4),AND(H188&gt;0,SUMIFS($H$2:$H$201,$E$2:$E$201,E188,$AH$2:$AH$201,"Confirmado")=4),AND(I188&gt;0,SUMIFS($I$2:$I$201,$E$2:$E$201,E188,$AH$2:$AH$201,"Confirmado")=4)),"Sí","No"))))</f>
        <v/>
      </c>
      <c r="AM188" s="2" t="str">
        <f aca="false">IF(A188="","",IF(AH188&lt;&gt;"Confirmado","",IF(AG188="CO/SO₂ simultáneos",IF(OR(COUNTIFS($E$2:$E$201,E188,$AH$2:$AH$201,"Confirmado",$AG$2:$AG$201,"CO/SO₂ simultáneos")&gt;3,SUMIFS($J$2:$J$201,$E$2:$E$201,E188,$AH$2:$AH$201,"Confirmado",$AG$2:$AG$201,"CO/SO₂ simultáneos")&gt;6),"CAPACIDAD EXCEDIDA","OK"),IF(OR(SUMIFS($F$2:$F$201,$E$2:$E$201,E188,$AH$2:$AH$201,"Confirmado")&gt;4,SUMIFS($G$2:$G$201,$E$2:$E$201,E188,$AH$2:$AH$201,"Confirmado")&gt;4,SUMIFS($H$2:$H$201,$E$2:$E$201,E188,$AH$2:$AH$201,"Confirmado")&gt;4,SUMIFS($I$2:$I$201,$E$2:$E$201,E188,$AH$2:$AH$201,"Confirmado")&gt;4),"CAPACIDAD EXCEDIDA","OK"))))</f>
        <v/>
      </c>
      <c r="AN188" s="2" t="str">
        <f aca="true">IF(A188="","",IF(AND(AC188&lt;1,Q188&lt;TODAY(),AH188="Aceptado pendiente de pago/orden"),"PLAZO VENCIDO",IF(AND(AC188&lt;1,AD188&lt;&gt;"",AD188&lt;TODAY()),"VENCIDO","OK")))</f>
        <v/>
      </c>
      <c r="AO188" s="6"/>
      <c r="AP188" s="8"/>
      <c r="AQ188" s="6"/>
      <c r="AR188" s="6" t="s">
        <v>73</v>
      </c>
      <c r="AS188" s="6"/>
      <c r="AT188" s="6"/>
      <c r="AU188" s="6"/>
      <c r="AV188" s="6"/>
      <c r="AW188" s="8" t="str">
        <f aca="false">IF(AV188="","",AV188+60)</f>
        <v/>
      </c>
      <c r="AX188" s="11" t="str">
        <f aca="true">IF(A188="","",IF(AND(AV188&lt;&gt;"",AW188&lt;TODAY(),OR(AH188="Interés",AH188="Cotizado")),"Sí","No"))</f>
        <v/>
      </c>
      <c r="AY188" s="6"/>
      <c r="AZ188" s="6"/>
      <c r="BA188" s="6"/>
      <c r="BB188" s="6"/>
      <c r="BC188" s="4"/>
      <c r="BD188" s="12"/>
    </row>
    <row r="189" customFormat="false" ht="23.8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2" t="n">
        <f aca="false">SUM(F189:I189)</f>
        <v>0</v>
      </c>
      <c r="K189" s="6"/>
      <c r="L189" s="6"/>
      <c r="M189" s="7"/>
      <c r="N189" s="7"/>
      <c r="O189" s="8"/>
      <c r="P189" s="8"/>
      <c r="Q189" s="8"/>
      <c r="R189" s="8"/>
      <c r="S189" s="8"/>
      <c r="T189" s="6"/>
      <c r="U189" s="6"/>
      <c r="V189" s="6"/>
      <c r="W189" s="6"/>
      <c r="X189" s="8"/>
      <c r="Y189" s="6"/>
      <c r="Z189" s="6"/>
      <c r="AA189" s="7"/>
      <c r="AB189" s="9" t="str">
        <f aca="false">IF(N189="","",MAX(0,N189-AA189))</f>
        <v/>
      </c>
      <c r="AC189" s="10" t="str">
        <f aca="false">IF(N189="","",IF(N189=0,0,AA189/N189))</f>
        <v/>
      </c>
      <c r="AD189" s="8"/>
      <c r="AE189" s="6"/>
      <c r="AF189" s="6"/>
      <c r="AG189" s="6"/>
      <c r="AH189" s="6"/>
      <c r="AI189" s="2" t="str">
        <f aca="false">IF(A189="","",IF(V189="Yes",IF(U189="Yes",1,2),""))</f>
        <v/>
      </c>
      <c r="AJ189" s="8"/>
      <c r="AK189" s="2" t="str">
        <f aca="false">IF(A189="","",IF(AJ189="","",COUNTIFS($E$2:$E$201,E189,$AI$2:$AI$201,AI189,$AJ$2:$AJ$201,"&lt;="&amp;AJ189)))</f>
        <v/>
      </c>
      <c r="AL189" s="2" t="str">
        <f aca="false">IF(A189="","",IF(AH189&lt;&gt;"Confirmado","No",IF(AG189="CO/SO₂ simultáneos",IF(OR(COUNTIFS($E$2:$E$201,E189,$AH$2:$AH$201,"Confirmado",$AG$2:$AG$201,"CO/SO₂ simultáneos")=3,SUMIFS($J$2:$J$201,$E$2:$E$201,E189,$AH$2:$AH$201,"Confirmado",$AG$2:$AG$201,"CO/SO₂ simultáneos")=6),"Sí","No"),IF(OR(AND(F189&gt;0,SUMIFS($F$2:$F$201,$E$2:$E$201,E189,$AH$2:$AH$201,"Confirmado")=4),AND(G189&gt;0,SUMIFS($G$2:$G$201,$E$2:$E$201,E189,$AH$2:$AH$201,"Confirmado")=4),AND(H189&gt;0,SUMIFS($H$2:$H$201,$E$2:$E$201,E189,$AH$2:$AH$201,"Confirmado")=4),AND(I189&gt;0,SUMIFS($I$2:$I$201,$E$2:$E$201,E189,$AH$2:$AH$201,"Confirmado")=4)),"Sí","No"))))</f>
        <v/>
      </c>
      <c r="AM189" s="2" t="str">
        <f aca="false">IF(A189="","",IF(AH189&lt;&gt;"Confirmado","",IF(AG189="CO/SO₂ simultáneos",IF(OR(COUNTIFS($E$2:$E$201,E189,$AH$2:$AH$201,"Confirmado",$AG$2:$AG$201,"CO/SO₂ simultáneos")&gt;3,SUMIFS($J$2:$J$201,$E$2:$E$201,E189,$AH$2:$AH$201,"Confirmado",$AG$2:$AG$201,"CO/SO₂ simultáneos")&gt;6),"CAPACIDAD EXCEDIDA","OK"),IF(OR(SUMIFS($F$2:$F$201,$E$2:$E$201,E189,$AH$2:$AH$201,"Confirmado")&gt;4,SUMIFS($G$2:$G$201,$E$2:$E$201,E189,$AH$2:$AH$201,"Confirmado")&gt;4,SUMIFS($H$2:$H$201,$E$2:$E$201,E189,$AH$2:$AH$201,"Confirmado")&gt;4,SUMIFS($I$2:$I$201,$E$2:$E$201,E189,$AH$2:$AH$201,"Confirmado")&gt;4),"CAPACIDAD EXCEDIDA","OK"))))</f>
        <v/>
      </c>
      <c r="AN189" s="2" t="str">
        <f aca="true">IF(A189="","",IF(AND(AC189&lt;1,Q189&lt;TODAY(),AH189="Aceptado pendiente de pago/orden"),"PLAZO VENCIDO",IF(AND(AC189&lt;1,AD189&lt;&gt;"",AD189&lt;TODAY()),"VENCIDO","OK")))</f>
        <v/>
      </c>
      <c r="AO189" s="6"/>
      <c r="AP189" s="8"/>
      <c r="AQ189" s="6"/>
      <c r="AR189" s="6" t="s">
        <v>73</v>
      </c>
      <c r="AS189" s="6"/>
      <c r="AT189" s="6"/>
      <c r="AU189" s="6"/>
      <c r="AV189" s="6"/>
      <c r="AW189" s="8" t="str">
        <f aca="false">IF(AV189="","",AV189+60)</f>
        <v/>
      </c>
      <c r="AX189" s="11" t="str">
        <f aca="true">IF(A189="","",IF(AND(AV189&lt;&gt;"",AW189&lt;TODAY(),OR(AH189="Interés",AH189="Cotizado")),"Sí","No"))</f>
        <v/>
      </c>
      <c r="AY189" s="6"/>
      <c r="AZ189" s="6"/>
      <c r="BA189" s="6"/>
      <c r="BB189" s="6"/>
      <c r="BC189" s="4"/>
      <c r="BD189" s="12"/>
    </row>
    <row r="190" customFormat="false" ht="23.8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2" t="n">
        <f aca="false">SUM(F190:I190)</f>
        <v>0</v>
      </c>
      <c r="K190" s="6"/>
      <c r="L190" s="6"/>
      <c r="M190" s="7"/>
      <c r="N190" s="7"/>
      <c r="O190" s="8"/>
      <c r="P190" s="8"/>
      <c r="Q190" s="8"/>
      <c r="R190" s="8"/>
      <c r="S190" s="8"/>
      <c r="T190" s="6"/>
      <c r="U190" s="6"/>
      <c r="V190" s="6"/>
      <c r="W190" s="6"/>
      <c r="X190" s="8"/>
      <c r="Y190" s="6"/>
      <c r="Z190" s="6"/>
      <c r="AA190" s="7"/>
      <c r="AB190" s="9" t="str">
        <f aca="false">IF(N190="","",MAX(0,N190-AA190))</f>
        <v/>
      </c>
      <c r="AC190" s="10" t="str">
        <f aca="false">IF(N190="","",IF(N190=0,0,AA190/N190))</f>
        <v/>
      </c>
      <c r="AD190" s="8"/>
      <c r="AE190" s="6"/>
      <c r="AF190" s="6"/>
      <c r="AG190" s="6"/>
      <c r="AH190" s="6"/>
      <c r="AI190" s="2" t="str">
        <f aca="false">IF(A190="","",IF(V190="Yes",IF(U190="Yes",1,2),""))</f>
        <v/>
      </c>
      <c r="AJ190" s="8"/>
      <c r="AK190" s="2" t="str">
        <f aca="false">IF(A190="","",IF(AJ190="","",COUNTIFS($E$2:$E$201,E190,$AI$2:$AI$201,AI190,$AJ$2:$AJ$201,"&lt;="&amp;AJ190)))</f>
        <v/>
      </c>
      <c r="AL190" s="2" t="str">
        <f aca="false">IF(A190="","",IF(AH190&lt;&gt;"Confirmado","No",IF(AG190="CO/SO₂ simultáneos",IF(OR(COUNTIFS($E$2:$E$201,E190,$AH$2:$AH$201,"Confirmado",$AG$2:$AG$201,"CO/SO₂ simultáneos")=3,SUMIFS($J$2:$J$201,$E$2:$E$201,E190,$AH$2:$AH$201,"Confirmado",$AG$2:$AG$201,"CO/SO₂ simultáneos")=6),"Sí","No"),IF(OR(AND(F190&gt;0,SUMIFS($F$2:$F$201,$E$2:$E$201,E190,$AH$2:$AH$201,"Confirmado")=4),AND(G190&gt;0,SUMIFS($G$2:$G$201,$E$2:$E$201,E190,$AH$2:$AH$201,"Confirmado")=4),AND(H190&gt;0,SUMIFS($H$2:$H$201,$E$2:$E$201,E190,$AH$2:$AH$201,"Confirmado")=4),AND(I190&gt;0,SUMIFS($I$2:$I$201,$E$2:$E$201,E190,$AH$2:$AH$201,"Confirmado")=4)),"Sí","No"))))</f>
        <v/>
      </c>
      <c r="AM190" s="2" t="str">
        <f aca="false">IF(A190="","",IF(AH190&lt;&gt;"Confirmado","",IF(AG190="CO/SO₂ simultáneos",IF(OR(COUNTIFS($E$2:$E$201,E190,$AH$2:$AH$201,"Confirmado",$AG$2:$AG$201,"CO/SO₂ simultáneos")&gt;3,SUMIFS($J$2:$J$201,$E$2:$E$201,E190,$AH$2:$AH$201,"Confirmado",$AG$2:$AG$201,"CO/SO₂ simultáneos")&gt;6),"CAPACIDAD EXCEDIDA","OK"),IF(OR(SUMIFS($F$2:$F$201,$E$2:$E$201,E190,$AH$2:$AH$201,"Confirmado")&gt;4,SUMIFS($G$2:$G$201,$E$2:$E$201,E190,$AH$2:$AH$201,"Confirmado")&gt;4,SUMIFS($H$2:$H$201,$E$2:$E$201,E190,$AH$2:$AH$201,"Confirmado")&gt;4,SUMIFS($I$2:$I$201,$E$2:$E$201,E190,$AH$2:$AH$201,"Confirmado")&gt;4),"CAPACIDAD EXCEDIDA","OK"))))</f>
        <v/>
      </c>
      <c r="AN190" s="2" t="str">
        <f aca="true">IF(A190="","",IF(AND(AC190&lt;1,Q190&lt;TODAY(),AH190="Aceptado pendiente de pago/orden"),"PLAZO VENCIDO",IF(AND(AC190&lt;1,AD190&lt;&gt;"",AD190&lt;TODAY()),"VENCIDO","OK")))</f>
        <v/>
      </c>
      <c r="AO190" s="6"/>
      <c r="AP190" s="8"/>
      <c r="AQ190" s="6"/>
      <c r="AR190" s="6" t="s">
        <v>73</v>
      </c>
      <c r="AS190" s="6"/>
      <c r="AT190" s="6"/>
      <c r="AU190" s="6"/>
      <c r="AV190" s="6"/>
      <c r="AW190" s="8" t="str">
        <f aca="false">IF(AV190="","",AV190+60)</f>
        <v/>
      </c>
      <c r="AX190" s="11" t="str">
        <f aca="true">IF(A190="","",IF(AND(AV190&lt;&gt;"",AW190&lt;TODAY(),OR(AH190="Interés",AH190="Cotizado")),"Sí","No"))</f>
        <v/>
      </c>
      <c r="AY190" s="6"/>
      <c r="AZ190" s="6"/>
      <c r="BA190" s="6"/>
      <c r="BB190" s="6"/>
      <c r="BC190" s="4"/>
      <c r="BD190" s="12"/>
    </row>
    <row r="191" customFormat="false" ht="23.8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2" t="n">
        <f aca="false">SUM(F191:I191)</f>
        <v>0</v>
      </c>
      <c r="K191" s="6"/>
      <c r="L191" s="6"/>
      <c r="M191" s="7"/>
      <c r="N191" s="7"/>
      <c r="O191" s="8"/>
      <c r="P191" s="8"/>
      <c r="Q191" s="8"/>
      <c r="R191" s="8"/>
      <c r="S191" s="8"/>
      <c r="T191" s="6"/>
      <c r="U191" s="6"/>
      <c r="V191" s="6"/>
      <c r="W191" s="6"/>
      <c r="X191" s="8"/>
      <c r="Y191" s="6"/>
      <c r="Z191" s="6"/>
      <c r="AA191" s="7"/>
      <c r="AB191" s="9" t="str">
        <f aca="false">IF(N191="","",MAX(0,N191-AA191))</f>
        <v/>
      </c>
      <c r="AC191" s="10" t="str">
        <f aca="false">IF(N191="","",IF(N191=0,0,AA191/N191))</f>
        <v/>
      </c>
      <c r="AD191" s="8"/>
      <c r="AE191" s="6"/>
      <c r="AF191" s="6"/>
      <c r="AG191" s="6"/>
      <c r="AH191" s="6"/>
      <c r="AI191" s="2" t="str">
        <f aca="false">IF(A191="","",IF(V191="Yes",IF(U191="Yes",1,2),""))</f>
        <v/>
      </c>
      <c r="AJ191" s="8"/>
      <c r="AK191" s="2" t="str">
        <f aca="false">IF(A191="","",IF(AJ191="","",COUNTIFS($E$2:$E$201,E191,$AI$2:$AI$201,AI191,$AJ$2:$AJ$201,"&lt;="&amp;AJ191)))</f>
        <v/>
      </c>
      <c r="AL191" s="2" t="str">
        <f aca="false">IF(A191="","",IF(AH191&lt;&gt;"Confirmado","No",IF(AG191="CO/SO₂ simultáneos",IF(OR(COUNTIFS($E$2:$E$201,E191,$AH$2:$AH$201,"Confirmado",$AG$2:$AG$201,"CO/SO₂ simultáneos")=3,SUMIFS($J$2:$J$201,$E$2:$E$201,E191,$AH$2:$AH$201,"Confirmado",$AG$2:$AG$201,"CO/SO₂ simultáneos")=6),"Sí","No"),IF(OR(AND(F191&gt;0,SUMIFS($F$2:$F$201,$E$2:$E$201,E191,$AH$2:$AH$201,"Confirmado")=4),AND(G191&gt;0,SUMIFS($G$2:$G$201,$E$2:$E$201,E191,$AH$2:$AH$201,"Confirmado")=4),AND(H191&gt;0,SUMIFS($H$2:$H$201,$E$2:$E$201,E191,$AH$2:$AH$201,"Confirmado")=4),AND(I191&gt;0,SUMIFS($I$2:$I$201,$E$2:$E$201,E191,$AH$2:$AH$201,"Confirmado")=4)),"Sí","No"))))</f>
        <v/>
      </c>
      <c r="AM191" s="2" t="str">
        <f aca="false">IF(A191="","",IF(AH191&lt;&gt;"Confirmado","",IF(AG191="CO/SO₂ simultáneos",IF(OR(COUNTIFS($E$2:$E$201,E191,$AH$2:$AH$201,"Confirmado",$AG$2:$AG$201,"CO/SO₂ simultáneos")&gt;3,SUMIFS($J$2:$J$201,$E$2:$E$201,E191,$AH$2:$AH$201,"Confirmado",$AG$2:$AG$201,"CO/SO₂ simultáneos")&gt;6),"CAPACIDAD EXCEDIDA","OK"),IF(OR(SUMIFS($F$2:$F$201,$E$2:$E$201,E191,$AH$2:$AH$201,"Confirmado")&gt;4,SUMIFS($G$2:$G$201,$E$2:$E$201,E191,$AH$2:$AH$201,"Confirmado")&gt;4,SUMIFS($H$2:$H$201,$E$2:$E$201,E191,$AH$2:$AH$201,"Confirmado")&gt;4,SUMIFS($I$2:$I$201,$E$2:$E$201,E191,$AH$2:$AH$201,"Confirmado")&gt;4),"CAPACIDAD EXCEDIDA","OK"))))</f>
        <v/>
      </c>
      <c r="AN191" s="2" t="str">
        <f aca="true">IF(A191="","",IF(AND(AC191&lt;1,Q191&lt;TODAY(),AH191="Aceptado pendiente de pago/orden"),"PLAZO VENCIDO",IF(AND(AC191&lt;1,AD191&lt;&gt;"",AD191&lt;TODAY()),"VENCIDO","OK")))</f>
        <v/>
      </c>
      <c r="AO191" s="6"/>
      <c r="AP191" s="8"/>
      <c r="AQ191" s="6"/>
      <c r="AR191" s="6" t="s">
        <v>73</v>
      </c>
      <c r="AS191" s="6"/>
      <c r="AT191" s="6"/>
      <c r="AU191" s="6"/>
      <c r="AV191" s="6"/>
      <c r="AW191" s="8" t="str">
        <f aca="false">IF(AV191="","",AV191+60)</f>
        <v/>
      </c>
      <c r="AX191" s="11" t="str">
        <f aca="true">IF(A191="","",IF(AND(AV191&lt;&gt;"",AW191&lt;TODAY(),OR(AH191="Interés",AH191="Cotizado")),"Sí","No"))</f>
        <v/>
      </c>
      <c r="AY191" s="6"/>
      <c r="AZ191" s="6"/>
      <c r="BA191" s="6"/>
      <c r="BB191" s="6"/>
      <c r="BC191" s="4"/>
      <c r="BD191" s="12"/>
    </row>
    <row r="192" customFormat="false" ht="23.8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2" t="n">
        <f aca="false">SUM(F192:I192)</f>
        <v>0</v>
      </c>
      <c r="K192" s="6"/>
      <c r="L192" s="6"/>
      <c r="M192" s="7"/>
      <c r="N192" s="7"/>
      <c r="O192" s="8"/>
      <c r="P192" s="8"/>
      <c r="Q192" s="8"/>
      <c r="R192" s="8"/>
      <c r="S192" s="8"/>
      <c r="T192" s="6"/>
      <c r="U192" s="6"/>
      <c r="V192" s="6"/>
      <c r="W192" s="6"/>
      <c r="X192" s="8"/>
      <c r="Y192" s="6"/>
      <c r="Z192" s="6"/>
      <c r="AA192" s="7"/>
      <c r="AB192" s="9" t="str">
        <f aca="false">IF(N192="","",MAX(0,N192-AA192))</f>
        <v/>
      </c>
      <c r="AC192" s="10" t="str">
        <f aca="false">IF(N192="","",IF(N192=0,0,AA192/N192))</f>
        <v/>
      </c>
      <c r="AD192" s="8"/>
      <c r="AE192" s="6"/>
      <c r="AF192" s="6"/>
      <c r="AG192" s="6"/>
      <c r="AH192" s="6"/>
      <c r="AI192" s="2" t="str">
        <f aca="false">IF(A192="","",IF(V192="Yes",IF(U192="Yes",1,2),""))</f>
        <v/>
      </c>
      <c r="AJ192" s="8"/>
      <c r="AK192" s="2" t="str">
        <f aca="false">IF(A192="","",IF(AJ192="","",COUNTIFS($E$2:$E$201,E192,$AI$2:$AI$201,AI192,$AJ$2:$AJ$201,"&lt;="&amp;AJ192)))</f>
        <v/>
      </c>
      <c r="AL192" s="2" t="str">
        <f aca="false">IF(A192="","",IF(AH192&lt;&gt;"Confirmado","No",IF(AG192="CO/SO₂ simultáneos",IF(OR(COUNTIFS($E$2:$E$201,E192,$AH$2:$AH$201,"Confirmado",$AG$2:$AG$201,"CO/SO₂ simultáneos")=3,SUMIFS($J$2:$J$201,$E$2:$E$201,E192,$AH$2:$AH$201,"Confirmado",$AG$2:$AG$201,"CO/SO₂ simultáneos")=6),"Sí","No"),IF(OR(AND(F192&gt;0,SUMIFS($F$2:$F$201,$E$2:$E$201,E192,$AH$2:$AH$201,"Confirmado")=4),AND(G192&gt;0,SUMIFS($G$2:$G$201,$E$2:$E$201,E192,$AH$2:$AH$201,"Confirmado")=4),AND(H192&gt;0,SUMIFS($H$2:$H$201,$E$2:$E$201,E192,$AH$2:$AH$201,"Confirmado")=4),AND(I192&gt;0,SUMIFS($I$2:$I$201,$E$2:$E$201,E192,$AH$2:$AH$201,"Confirmado")=4)),"Sí","No"))))</f>
        <v/>
      </c>
      <c r="AM192" s="2" t="str">
        <f aca="false">IF(A192="","",IF(AH192&lt;&gt;"Confirmado","",IF(AG192="CO/SO₂ simultáneos",IF(OR(COUNTIFS($E$2:$E$201,E192,$AH$2:$AH$201,"Confirmado",$AG$2:$AG$201,"CO/SO₂ simultáneos")&gt;3,SUMIFS($J$2:$J$201,$E$2:$E$201,E192,$AH$2:$AH$201,"Confirmado",$AG$2:$AG$201,"CO/SO₂ simultáneos")&gt;6),"CAPACIDAD EXCEDIDA","OK"),IF(OR(SUMIFS($F$2:$F$201,$E$2:$E$201,E192,$AH$2:$AH$201,"Confirmado")&gt;4,SUMIFS($G$2:$G$201,$E$2:$E$201,E192,$AH$2:$AH$201,"Confirmado")&gt;4,SUMIFS($H$2:$H$201,$E$2:$E$201,E192,$AH$2:$AH$201,"Confirmado")&gt;4,SUMIFS($I$2:$I$201,$E$2:$E$201,E192,$AH$2:$AH$201,"Confirmado")&gt;4),"CAPACIDAD EXCEDIDA","OK"))))</f>
        <v/>
      </c>
      <c r="AN192" s="2" t="str">
        <f aca="true">IF(A192="","",IF(AND(AC192&lt;1,Q192&lt;TODAY(),AH192="Aceptado pendiente de pago/orden"),"PLAZO VENCIDO",IF(AND(AC192&lt;1,AD192&lt;&gt;"",AD192&lt;TODAY()),"VENCIDO","OK")))</f>
        <v/>
      </c>
      <c r="AO192" s="6"/>
      <c r="AP192" s="8"/>
      <c r="AQ192" s="6"/>
      <c r="AR192" s="6" t="s">
        <v>73</v>
      </c>
      <c r="AS192" s="6"/>
      <c r="AT192" s="6"/>
      <c r="AU192" s="6"/>
      <c r="AV192" s="6"/>
      <c r="AW192" s="8" t="str">
        <f aca="false">IF(AV192="","",AV192+60)</f>
        <v/>
      </c>
      <c r="AX192" s="11" t="str">
        <f aca="true">IF(A192="","",IF(AND(AV192&lt;&gt;"",AW192&lt;TODAY(),OR(AH192="Interés",AH192="Cotizado")),"Sí","No"))</f>
        <v/>
      </c>
      <c r="AY192" s="6"/>
      <c r="AZ192" s="6"/>
      <c r="BA192" s="6"/>
      <c r="BB192" s="6"/>
      <c r="BC192" s="4"/>
      <c r="BD192" s="12"/>
    </row>
    <row r="193" customFormat="false" ht="23.8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2" t="n">
        <f aca="false">SUM(F193:I193)</f>
        <v>0</v>
      </c>
      <c r="K193" s="6"/>
      <c r="L193" s="6"/>
      <c r="M193" s="7"/>
      <c r="N193" s="7"/>
      <c r="O193" s="8"/>
      <c r="P193" s="8"/>
      <c r="Q193" s="8"/>
      <c r="R193" s="8"/>
      <c r="S193" s="8"/>
      <c r="T193" s="6"/>
      <c r="U193" s="6"/>
      <c r="V193" s="6"/>
      <c r="W193" s="6"/>
      <c r="X193" s="8"/>
      <c r="Y193" s="6"/>
      <c r="Z193" s="6"/>
      <c r="AA193" s="7"/>
      <c r="AB193" s="9" t="str">
        <f aca="false">IF(N193="","",MAX(0,N193-AA193))</f>
        <v/>
      </c>
      <c r="AC193" s="10" t="str">
        <f aca="false">IF(N193="","",IF(N193=0,0,AA193/N193))</f>
        <v/>
      </c>
      <c r="AD193" s="8"/>
      <c r="AE193" s="6"/>
      <c r="AF193" s="6"/>
      <c r="AG193" s="6"/>
      <c r="AH193" s="6"/>
      <c r="AI193" s="2" t="str">
        <f aca="false">IF(A193="","",IF(V193="Yes",IF(U193="Yes",1,2),""))</f>
        <v/>
      </c>
      <c r="AJ193" s="8"/>
      <c r="AK193" s="2" t="str">
        <f aca="false">IF(A193="","",IF(AJ193="","",COUNTIFS($E$2:$E$201,E193,$AI$2:$AI$201,AI193,$AJ$2:$AJ$201,"&lt;="&amp;AJ193)))</f>
        <v/>
      </c>
      <c r="AL193" s="2" t="str">
        <f aca="false">IF(A193="","",IF(AH193&lt;&gt;"Confirmado","No",IF(AG193="CO/SO₂ simultáneos",IF(OR(COUNTIFS($E$2:$E$201,E193,$AH$2:$AH$201,"Confirmado",$AG$2:$AG$201,"CO/SO₂ simultáneos")=3,SUMIFS($J$2:$J$201,$E$2:$E$201,E193,$AH$2:$AH$201,"Confirmado",$AG$2:$AG$201,"CO/SO₂ simultáneos")=6),"Sí","No"),IF(OR(AND(F193&gt;0,SUMIFS($F$2:$F$201,$E$2:$E$201,E193,$AH$2:$AH$201,"Confirmado")=4),AND(G193&gt;0,SUMIFS($G$2:$G$201,$E$2:$E$201,E193,$AH$2:$AH$201,"Confirmado")=4),AND(H193&gt;0,SUMIFS($H$2:$H$201,$E$2:$E$201,E193,$AH$2:$AH$201,"Confirmado")=4),AND(I193&gt;0,SUMIFS($I$2:$I$201,$E$2:$E$201,E193,$AH$2:$AH$201,"Confirmado")=4)),"Sí","No"))))</f>
        <v/>
      </c>
      <c r="AM193" s="2" t="str">
        <f aca="false">IF(A193="","",IF(AH193&lt;&gt;"Confirmado","",IF(AG193="CO/SO₂ simultáneos",IF(OR(COUNTIFS($E$2:$E$201,E193,$AH$2:$AH$201,"Confirmado",$AG$2:$AG$201,"CO/SO₂ simultáneos")&gt;3,SUMIFS($J$2:$J$201,$E$2:$E$201,E193,$AH$2:$AH$201,"Confirmado",$AG$2:$AG$201,"CO/SO₂ simultáneos")&gt;6),"CAPACIDAD EXCEDIDA","OK"),IF(OR(SUMIFS($F$2:$F$201,$E$2:$E$201,E193,$AH$2:$AH$201,"Confirmado")&gt;4,SUMIFS($G$2:$G$201,$E$2:$E$201,E193,$AH$2:$AH$201,"Confirmado")&gt;4,SUMIFS($H$2:$H$201,$E$2:$E$201,E193,$AH$2:$AH$201,"Confirmado")&gt;4,SUMIFS($I$2:$I$201,$E$2:$E$201,E193,$AH$2:$AH$201,"Confirmado")&gt;4),"CAPACIDAD EXCEDIDA","OK"))))</f>
        <v/>
      </c>
      <c r="AN193" s="2" t="str">
        <f aca="true">IF(A193="","",IF(AND(AC193&lt;1,Q193&lt;TODAY(),AH193="Aceptado pendiente de pago/orden"),"PLAZO VENCIDO",IF(AND(AC193&lt;1,AD193&lt;&gt;"",AD193&lt;TODAY()),"VENCIDO","OK")))</f>
        <v/>
      </c>
      <c r="AO193" s="6"/>
      <c r="AP193" s="8"/>
      <c r="AQ193" s="6"/>
      <c r="AR193" s="6" t="s">
        <v>73</v>
      </c>
      <c r="AS193" s="6"/>
      <c r="AT193" s="6"/>
      <c r="AU193" s="6"/>
      <c r="AV193" s="6"/>
      <c r="AW193" s="8" t="str">
        <f aca="false">IF(AV193="","",AV193+60)</f>
        <v/>
      </c>
      <c r="AX193" s="11" t="str">
        <f aca="true">IF(A193="","",IF(AND(AV193&lt;&gt;"",AW193&lt;TODAY(),OR(AH193="Interés",AH193="Cotizado")),"Sí","No"))</f>
        <v/>
      </c>
      <c r="AY193" s="6"/>
      <c r="AZ193" s="6"/>
      <c r="BA193" s="6"/>
      <c r="BB193" s="6"/>
      <c r="BC193" s="4"/>
      <c r="BD193" s="12"/>
    </row>
    <row r="194" customFormat="false" ht="23.8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2" t="n">
        <f aca="false">SUM(F194:I194)</f>
        <v>0</v>
      </c>
      <c r="K194" s="6"/>
      <c r="L194" s="6"/>
      <c r="M194" s="7"/>
      <c r="N194" s="7"/>
      <c r="O194" s="8"/>
      <c r="P194" s="8"/>
      <c r="Q194" s="8"/>
      <c r="R194" s="8"/>
      <c r="S194" s="8"/>
      <c r="T194" s="6"/>
      <c r="U194" s="6"/>
      <c r="V194" s="6"/>
      <c r="W194" s="6"/>
      <c r="X194" s="8"/>
      <c r="Y194" s="6"/>
      <c r="Z194" s="6"/>
      <c r="AA194" s="7"/>
      <c r="AB194" s="9" t="str">
        <f aca="false">IF(N194="","",MAX(0,N194-AA194))</f>
        <v/>
      </c>
      <c r="AC194" s="10" t="str">
        <f aca="false">IF(N194="","",IF(N194=0,0,AA194/N194))</f>
        <v/>
      </c>
      <c r="AD194" s="8"/>
      <c r="AE194" s="6"/>
      <c r="AF194" s="6"/>
      <c r="AG194" s="6"/>
      <c r="AH194" s="6"/>
      <c r="AI194" s="2" t="str">
        <f aca="false">IF(A194="","",IF(V194="Yes",IF(U194="Yes",1,2),""))</f>
        <v/>
      </c>
      <c r="AJ194" s="8"/>
      <c r="AK194" s="2" t="str">
        <f aca="false">IF(A194="","",IF(AJ194="","",COUNTIFS($E$2:$E$201,E194,$AI$2:$AI$201,AI194,$AJ$2:$AJ$201,"&lt;="&amp;AJ194)))</f>
        <v/>
      </c>
      <c r="AL194" s="2" t="str">
        <f aca="false">IF(A194="","",IF(AH194&lt;&gt;"Confirmado","No",IF(AG194="CO/SO₂ simultáneos",IF(OR(COUNTIFS($E$2:$E$201,E194,$AH$2:$AH$201,"Confirmado",$AG$2:$AG$201,"CO/SO₂ simultáneos")=3,SUMIFS($J$2:$J$201,$E$2:$E$201,E194,$AH$2:$AH$201,"Confirmado",$AG$2:$AG$201,"CO/SO₂ simultáneos")=6),"Sí","No"),IF(OR(AND(F194&gt;0,SUMIFS($F$2:$F$201,$E$2:$E$201,E194,$AH$2:$AH$201,"Confirmado")=4),AND(G194&gt;0,SUMIFS($G$2:$G$201,$E$2:$E$201,E194,$AH$2:$AH$201,"Confirmado")=4),AND(H194&gt;0,SUMIFS($H$2:$H$201,$E$2:$E$201,E194,$AH$2:$AH$201,"Confirmado")=4),AND(I194&gt;0,SUMIFS($I$2:$I$201,$E$2:$E$201,E194,$AH$2:$AH$201,"Confirmado")=4)),"Sí","No"))))</f>
        <v/>
      </c>
      <c r="AM194" s="2" t="str">
        <f aca="false">IF(A194="","",IF(AH194&lt;&gt;"Confirmado","",IF(AG194="CO/SO₂ simultáneos",IF(OR(COUNTIFS($E$2:$E$201,E194,$AH$2:$AH$201,"Confirmado",$AG$2:$AG$201,"CO/SO₂ simultáneos")&gt;3,SUMIFS($J$2:$J$201,$E$2:$E$201,E194,$AH$2:$AH$201,"Confirmado",$AG$2:$AG$201,"CO/SO₂ simultáneos")&gt;6),"CAPACIDAD EXCEDIDA","OK"),IF(OR(SUMIFS($F$2:$F$201,$E$2:$E$201,E194,$AH$2:$AH$201,"Confirmado")&gt;4,SUMIFS($G$2:$G$201,$E$2:$E$201,E194,$AH$2:$AH$201,"Confirmado")&gt;4,SUMIFS($H$2:$H$201,$E$2:$E$201,E194,$AH$2:$AH$201,"Confirmado")&gt;4,SUMIFS($I$2:$I$201,$E$2:$E$201,E194,$AH$2:$AH$201,"Confirmado")&gt;4),"CAPACIDAD EXCEDIDA","OK"))))</f>
        <v/>
      </c>
      <c r="AN194" s="2" t="str">
        <f aca="true">IF(A194="","",IF(AND(AC194&lt;1,Q194&lt;TODAY(),AH194="Aceptado pendiente de pago/orden"),"PLAZO VENCIDO",IF(AND(AC194&lt;1,AD194&lt;&gt;"",AD194&lt;TODAY()),"VENCIDO","OK")))</f>
        <v/>
      </c>
      <c r="AO194" s="6"/>
      <c r="AP194" s="8"/>
      <c r="AQ194" s="6"/>
      <c r="AR194" s="6" t="s">
        <v>73</v>
      </c>
      <c r="AS194" s="6"/>
      <c r="AT194" s="6"/>
      <c r="AU194" s="6"/>
      <c r="AV194" s="6"/>
      <c r="AW194" s="8" t="str">
        <f aca="false">IF(AV194="","",AV194+60)</f>
        <v/>
      </c>
      <c r="AX194" s="11" t="str">
        <f aca="true">IF(A194="","",IF(AND(AV194&lt;&gt;"",AW194&lt;TODAY(),OR(AH194="Interés",AH194="Cotizado")),"Sí","No"))</f>
        <v/>
      </c>
      <c r="AY194" s="6"/>
      <c r="AZ194" s="6"/>
      <c r="BA194" s="6"/>
      <c r="BB194" s="6"/>
      <c r="BC194" s="4"/>
      <c r="BD194" s="12"/>
    </row>
    <row r="195" customFormat="false" ht="23.8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2" t="n">
        <f aca="false">SUM(F195:I195)</f>
        <v>0</v>
      </c>
      <c r="K195" s="6"/>
      <c r="L195" s="6"/>
      <c r="M195" s="7"/>
      <c r="N195" s="7"/>
      <c r="O195" s="8"/>
      <c r="P195" s="8"/>
      <c r="Q195" s="8"/>
      <c r="R195" s="8"/>
      <c r="S195" s="8"/>
      <c r="T195" s="6"/>
      <c r="U195" s="6"/>
      <c r="V195" s="6"/>
      <c r="W195" s="6"/>
      <c r="X195" s="8"/>
      <c r="Y195" s="6"/>
      <c r="Z195" s="6"/>
      <c r="AA195" s="7"/>
      <c r="AB195" s="9" t="str">
        <f aca="false">IF(N195="","",MAX(0,N195-AA195))</f>
        <v/>
      </c>
      <c r="AC195" s="10" t="str">
        <f aca="false">IF(N195="","",IF(N195=0,0,AA195/N195))</f>
        <v/>
      </c>
      <c r="AD195" s="8"/>
      <c r="AE195" s="6"/>
      <c r="AF195" s="6"/>
      <c r="AG195" s="6"/>
      <c r="AH195" s="6"/>
      <c r="AI195" s="2" t="str">
        <f aca="false">IF(A195="","",IF(V195="Yes",IF(U195="Yes",1,2),""))</f>
        <v/>
      </c>
      <c r="AJ195" s="8"/>
      <c r="AK195" s="2" t="str">
        <f aca="false">IF(A195="","",IF(AJ195="","",COUNTIFS($E$2:$E$201,E195,$AI$2:$AI$201,AI195,$AJ$2:$AJ$201,"&lt;="&amp;AJ195)))</f>
        <v/>
      </c>
      <c r="AL195" s="2" t="str">
        <f aca="false">IF(A195="","",IF(AH195&lt;&gt;"Confirmado","No",IF(AG195="CO/SO₂ simultáneos",IF(OR(COUNTIFS($E$2:$E$201,E195,$AH$2:$AH$201,"Confirmado",$AG$2:$AG$201,"CO/SO₂ simultáneos")=3,SUMIFS($J$2:$J$201,$E$2:$E$201,E195,$AH$2:$AH$201,"Confirmado",$AG$2:$AG$201,"CO/SO₂ simultáneos")=6),"Sí","No"),IF(OR(AND(F195&gt;0,SUMIFS($F$2:$F$201,$E$2:$E$201,E195,$AH$2:$AH$201,"Confirmado")=4),AND(G195&gt;0,SUMIFS($G$2:$G$201,$E$2:$E$201,E195,$AH$2:$AH$201,"Confirmado")=4),AND(H195&gt;0,SUMIFS($H$2:$H$201,$E$2:$E$201,E195,$AH$2:$AH$201,"Confirmado")=4),AND(I195&gt;0,SUMIFS($I$2:$I$201,$E$2:$E$201,E195,$AH$2:$AH$201,"Confirmado")=4)),"Sí","No"))))</f>
        <v/>
      </c>
      <c r="AM195" s="2" t="str">
        <f aca="false">IF(A195="","",IF(AH195&lt;&gt;"Confirmado","",IF(AG195="CO/SO₂ simultáneos",IF(OR(COUNTIFS($E$2:$E$201,E195,$AH$2:$AH$201,"Confirmado",$AG$2:$AG$201,"CO/SO₂ simultáneos")&gt;3,SUMIFS($J$2:$J$201,$E$2:$E$201,E195,$AH$2:$AH$201,"Confirmado",$AG$2:$AG$201,"CO/SO₂ simultáneos")&gt;6),"CAPACIDAD EXCEDIDA","OK"),IF(OR(SUMIFS($F$2:$F$201,$E$2:$E$201,E195,$AH$2:$AH$201,"Confirmado")&gt;4,SUMIFS($G$2:$G$201,$E$2:$E$201,E195,$AH$2:$AH$201,"Confirmado")&gt;4,SUMIFS($H$2:$H$201,$E$2:$E$201,E195,$AH$2:$AH$201,"Confirmado")&gt;4,SUMIFS($I$2:$I$201,$E$2:$E$201,E195,$AH$2:$AH$201,"Confirmado")&gt;4),"CAPACIDAD EXCEDIDA","OK"))))</f>
        <v/>
      </c>
      <c r="AN195" s="2" t="str">
        <f aca="true">IF(A195="","",IF(AND(AC195&lt;1,Q195&lt;TODAY(),AH195="Aceptado pendiente de pago/orden"),"PLAZO VENCIDO",IF(AND(AC195&lt;1,AD195&lt;&gt;"",AD195&lt;TODAY()),"VENCIDO","OK")))</f>
        <v/>
      </c>
      <c r="AO195" s="6"/>
      <c r="AP195" s="8"/>
      <c r="AQ195" s="6"/>
      <c r="AR195" s="6" t="s">
        <v>73</v>
      </c>
      <c r="AS195" s="6"/>
      <c r="AT195" s="6"/>
      <c r="AU195" s="6"/>
      <c r="AV195" s="6"/>
      <c r="AW195" s="8" t="str">
        <f aca="false">IF(AV195="","",AV195+60)</f>
        <v/>
      </c>
      <c r="AX195" s="11" t="str">
        <f aca="true">IF(A195="","",IF(AND(AV195&lt;&gt;"",AW195&lt;TODAY(),OR(AH195="Interés",AH195="Cotizado")),"Sí","No"))</f>
        <v/>
      </c>
      <c r="AY195" s="6"/>
      <c r="AZ195" s="6"/>
      <c r="BA195" s="6"/>
      <c r="BB195" s="6"/>
      <c r="BC195" s="4"/>
      <c r="BD195" s="12"/>
    </row>
    <row r="196" customFormat="false" ht="23.8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2" t="n">
        <f aca="false">SUM(F196:I196)</f>
        <v>0</v>
      </c>
      <c r="K196" s="6"/>
      <c r="L196" s="6"/>
      <c r="M196" s="7"/>
      <c r="N196" s="7"/>
      <c r="O196" s="8"/>
      <c r="P196" s="8"/>
      <c r="Q196" s="8"/>
      <c r="R196" s="8"/>
      <c r="S196" s="8"/>
      <c r="T196" s="6"/>
      <c r="U196" s="6"/>
      <c r="V196" s="6"/>
      <c r="W196" s="6"/>
      <c r="X196" s="8"/>
      <c r="Y196" s="6"/>
      <c r="Z196" s="6"/>
      <c r="AA196" s="7"/>
      <c r="AB196" s="9" t="str">
        <f aca="false">IF(N196="","",MAX(0,N196-AA196))</f>
        <v/>
      </c>
      <c r="AC196" s="10" t="str">
        <f aca="false">IF(N196="","",IF(N196=0,0,AA196/N196))</f>
        <v/>
      </c>
      <c r="AD196" s="8"/>
      <c r="AE196" s="6"/>
      <c r="AF196" s="6"/>
      <c r="AG196" s="6"/>
      <c r="AH196" s="6"/>
      <c r="AI196" s="2" t="str">
        <f aca="false">IF(A196="","",IF(V196="Yes",IF(U196="Yes",1,2),""))</f>
        <v/>
      </c>
      <c r="AJ196" s="8"/>
      <c r="AK196" s="2" t="str">
        <f aca="false">IF(A196="","",IF(AJ196="","",COUNTIFS($E$2:$E$201,E196,$AI$2:$AI$201,AI196,$AJ$2:$AJ$201,"&lt;="&amp;AJ196)))</f>
        <v/>
      </c>
      <c r="AL196" s="2" t="str">
        <f aca="false">IF(A196="","",IF(AH196&lt;&gt;"Confirmado","No",IF(AG196="CO/SO₂ simultáneos",IF(OR(COUNTIFS($E$2:$E$201,E196,$AH$2:$AH$201,"Confirmado",$AG$2:$AG$201,"CO/SO₂ simultáneos")=3,SUMIFS($J$2:$J$201,$E$2:$E$201,E196,$AH$2:$AH$201,"Confirmado",$AG$2:$AG$201,"CO/SO₂ simultáneos")=6),"Sí","No"),IF(OR(AND(F196&gt;0,SUMIFS($F$2:$F$201,$E$2:$E$201,E196,$AH$2:$AH$201,"Confirmado")=4),AND(G196&gt;0,SUMIFS($G$2:$G$201,$E$2:$E$201,E196,$AH$2:$AH$201,"Confirmado")=4),AND(H196&gt;0,SUMIFS($H$2:$H$201,$E$2:$E$201,E196,$AH$2:$AH$201,"Confirmado")=4),AND(I196&gt;0,SUMIFS($I$2:$I$201,$E$2:$E$201,E196,$AH$2:$AH$201,"Confirmado")=4)),"Sí","No"))))</f>
        <v/>
      </c>
      <c r="AM196" s="2" t="str">
        <f aca="false">IF(A196="","",IF(AH196&lt;&gt;"Confirmado","",IF(AG196="CO/SO₂ simultáneos",IF(OR(COUNTIFS($E$2:$E$201,E196,$AH$2:$AH$201,"Confirmado",$AG$2:$AG$201,"CO/SO₂ simultáneos")&gt;3,SUMIFS($J$2:$J$201,$E$2:$E$201,E196,$AH$2:$AH$201,"Confirmado",$AG$2:$AG$201,"CO/SO₂ simultáneos")&gt;6),"CAPACIDAD EXCEDIDA","OK"),IF(OR(SUMIFS($F$2:$F$201,$E$2:$E$201,E196,$AH$2:$AH$201,"Confirmado")&gt;4,SUMIFS($G$2:$G$201,$E$2:$E$201,E196,$AH$2:$AH$201,"Confirmado")&gt;4,SUMIFS($H$2:$H$201,$E$2:$E$201,E196,$AH$2:$AH$201,"Confirmado")&gt;4,SUMIFS($I$2:$I$201,$E$2:$E$201,E196,$AH$2:$AH$201,"Confirmado")&gt;4),"CAPACIDAD EXCEDIDA","OK"))))</f>
        <v/>
      </c>
      <c r="AN196" s="2" t="str">
        <f aca="true">IF(A196="","",IF(AND(AC196&lt;1,Q196&lt;TODAY(),AH196="Aceptado pendiente de pago/orden"),"PLAZO VENCIDO",IF(AND(AC196&lt;1,AD196&lt;&gt;"",AD196&lt;TODAY()),"VENCIDO","OK")))</f>
        <v/>
      </c>
      <c r="AO196" s="6"/>
      <c r="AP196" s="8"/>
      <c r="AQ196" s="6"/>
      <c r="AR196" s="6" t="s">
        <v>73</v>
      </c>
      <c r="AS196" s="6"/>
      <c r="AT196" s="6"/>
      <c r="AU196" s="6"/>
      <c r="AV196" s="6"/>
      <c r="AW196" s="8" t="str">
        <f aca="false">IF(AV196="","",AV196+60)</f>
        <v/>
      </c>
      <c r="AX196" s="11" t="str">
        <f aca="true">IF(A196="","",IF(AND(AV196&lt;&gt;"",AW196&lt;TODAY(),OR(AH196="Interés",AH196="Cotizado")),"Sí","No"))</f>
        <v/>
      </c>
      <c r="AY196" s="6"/>
      <c r="AZ196" s="6"/>
      <c r="BA196" s="6"/>
      <c r="BB196" s="6"/>
      <c r="BC196" s="4"/>
      <c r="BD196" s="12"/>
    </row>
    <row r="197" customFormat="false" ht="23.8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2" t="n">
        <f aca="false">SUM(F197:I197)</f>
        <v>0</v>
      </c>
      <c r="K197" s="6"/>
      <c r="L197" s="6"/>
      <c r="M197" s="7"/>
      <c r="N197" s="7"/>
      <c r="O197" s="8"/>
      <c r="P197" s="8"/>
      <c r="Q197" s="8"/>
      <c r="R197" s="8"/>
      <c r="S197" s="8"/>
      <c r="T197" s="6"/>
      <c r="U197" s="6"/>
      <c r="V197" s="6"/>
      <c r="W197" s="6"/>
      <c r="X197" s="8"/>
      <c r="Y197" s="6"/>
      <c r="Z197" s="6"/>
      <c r="AA197" s="7"/>
      <c r="AB197" s="9" t="str">
        <f aca="false">IF(N197="","",MAX(0,N197-AA197))</f>
        <v/>
      </c>
      <c r="AC197" s="10" t="str">
        <f aca="false">IF(N197="","",IF(N197=0,0,AA197/N197))</f>
        <v/>
      </c>
      <c r="AD197" s="8"/>
      <c r="AE197" s="6"/>
      <c r="AF197" s="6"/>
      <c r="AG197" s="6"/>
      <c r="AH197" s="6"/>
      <c r="AI197" s="2" t="str">
        <f aca="false">IF(A197="","",IF(V197="Yes",IF(U197="Yes",1,2),""))</f>
        <v/>
      </c>
      <c r="AJ197" s="8"/>
      <c r="AK197" s="2" t="str">
        <f aca="false">IF(A197="","",IF(AJ197="","",COUNTIFS($E$2:$E$201,E197,$AI$2:$AI$201,AI197,$AJ$2:$AJ$201,"&lt;="&amp;AJ197)))</f>
        <v/>
      </c>
      <c r="AL197" s="2" t="str">
        <f aca="false">IF(A197="","",IF(AH197&lt;&gt;"Confirmado","No",IF(AG197="CO/SO₂ simultáneos",IF(OR(COUNTIFS($E$2:$E$201,E197,$AH$2:$AH$201,"Confirmado",$AG$2:$AG$201,"CO/SO₂ simultáneos")=3,SUMIFS($J$2:$J$201,$E$2:$E$201,E197,$AH$2:$AH$201,"Confirmado",$AG$2:$AG$201,"CO/SO₂ simultáneos")=6),"Sí","No"),IF(OR(AND(F197&gt;0,SUMIFS($F$2:$F$201,$E$2:$E$201,E197,$AH$2:$AH$201,"Confirmado")=4),AND(G197&gt;0,SUMIFS($G$2:$G$201,$E$2:$E$201,E197,$AH$2:$AH$201,"Confirmado")=4),AND(H197&gt;0,SUMIFS($H$2:$H$201,$E$2:$E$201,E197,$AH$2:$AH$201,"Confirmado")=4),AND(I197&gt;0,SUMIFS($I$2:$I$201,$E$2:$E$201,E197,$AH$2:$AH$201,"Confirmado")=4)),"Sí","No"))))</f>
        <v/>
      </c>
      <c r="AM197" s="2" t="str">
        <f aca="false">IF(A197="","",IF(AH197&lt;&gt;"Confirmado","",IF(AG197="CO/SO₂ simultáneos",IF(OR(COUNTIFS($E$2:$E$201,E197,$AH$2:$AH$201,"Confirmado",$AG$2:$AG$201,"CO/SO₂ simultáneos")&gt;3,SUMIFS($J$2:$J$201,$E$2:$E$201,E197,$AH$2:$AH$201,"Confirmado",$AG$2:$AG$201,"CO/SO₂ simultáneos")&gt;6),"CAPACIDAD EXCEDIDA","OK"),IF(OR(SUMIFS($F$2:$F$201,$E$2:$E$201,E197,$AH$2:$AH$201,"Confirmado")&gt;4,SUMIFS($G$2:$G$201,$E$2:$E$201,E197,$AH$2:$AH$201,"Confirmado")&gt;4,SUMIFS($H$2:$H$201,$E$2:$E$201,E197,$AH$2:$AH$201,"Confirmado")&gt;4,SUMIFS($I$2:$I$201,$E$2:$E$201,E197,$AH$2:$AH$201,"Confirmado")&gt;4),"CAPACIDAD EXCEDIDA","OK"))))</f>
        <v/>
      </c>
      <c r="AN197" s="2" t="str">
        <f aca="true">IF(A197="","",IF(AND(AC197&lt;1,Q197&lt;TODAY(),AH197="Aceptado pendiente de pago/orden"),"PLAZO VENCIDO",IF(AND(AC197&lt;1,AD197&lt;&gt;"",AD197&lt;TODAY()),"VENCIDO","OK")))</f>
        <v/>
      </c>
      <c r="AO197" s="6"/>
      <c r="AP197" s="8"/>
      <c r="AQ197" s="6"/>
      <c r="AR197" s="6" t="s">
        <v>73</v>
      </c>
      <c r="AS197" s="6"/>
      <c r="AT197" s="6"/>
      <c r="AU197" s="6"/>
      <c r="AV197" s="6"/>
      <c r="AW197" s="8" t="str">
        <f aca="false">IF(AV197="","",AV197+60)</f>
        <v/>
      </c>
      <c r="AX197" s="11" t="str">
        <f aca="true">IF(A197="","",IF(AND(AV197&lt;&gt;"",AW197&lt;TODAY(),OR(AH197="Interés",AH197="Cotizado")),"Sí","No"))</f>
        <v/>
      </c>
      <c r="AY197" s="6"/>
      <c r="AZ197" s="6"/>
      <c r="BA197" s="6"/>
      <c r="BB197" s="6"/>
      <c r="BC197" s="4"/>
      <c r="BD197" s="12"/>
    </row>
    <row r="198" customFormat="false" ht="23.8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2" t="n">
        <f aca="false">SUM(F198:I198)</f>
        <v>0</v>
      </c>
      <c r="K198" s="6"/>
      <c r="L198" s="6"/>
      <c r="M198" s="7"/>
      <c r="N198" s="7"/>
      <c r="O198" s="8"/>
      <c r="P198" s="8"/>
      <c r="Q198" s="8"/>
      <c r="R198" s="8"/>
      <c r="S198" s="8"/>
      <c r="T198" s="6"/>
      <c r="U198" s="6"/>
      <c r="V198" s="6"/>
      <c r="W198" s="6"/>
      <c r="X198" s="8"/>
      <c r="Y198" s="6"/>
      <c r="Z198" s="6"/>
      <c r="AA198" s="7"/>
      <c r="AB198" s="9" t="str">
        <f aca="false">IF(N198="","",MAX(0,N198-AA198))</f>
        <v/>
      </c>
      <c r="AC198" s="10" t="str">
        <f aca="false">IF(N198="","",IF(N198=0,0,AA198/N198))</f>
        <v/>
      </c>
      <c r="AD198" s="8"/>
      <c r="AE198" s="6"/>
      <c r="AF198" s="6"/>
      <c r="AG198" s="6"/>
      <c r="AH198" s="6"/>
      <c r="AI198" s="2" t="str">
        <f aca="false">IF(A198="","",IF(V198="Yes",IF(U198="Yes",1,2),""))</f>
        <v/>
      </c>
      <c r="AJ198" s="8"/>
      <c r="AK198" s="2" t="str">
        <f aca="false">IF(A198="","",IF(AJ198="","",COUNTIFS($E$2:$E$201,E198,$AI$2:$AI$201,AI198,$AJ$2:$AJ$201,"&lt;="&amp;AJ198)))</f>
        <v/>
      </c>
      <c r="AL198" s="2" t="str">
        <f aca="false">IF(A198="","",IF(AH198&lt;&gt;"Confirmado","No",IF(AG198="CO/SO₂ simultáneos",IF(OR(COUNTIFS($E$2:$E$201,E198,$AH$2:$AH$201,"Confirmado",$AG$2:$AG$201,"CO/SO₂ simultáneos")=3,SUMIFS($J$2:$J$201,$E$2:$E$201,E198,$AH$2:$AH$201,"Confirmado",$AG$2:$AG$201,"CO/SO₂ simultáneos")=6),"Sí","No"),IF(OR(AND(F198&gt;0,SUMIFS($F$2:$F$201,$E$2:$E$201,E198,$AH$2:$AH$201,"Confirmado")=4),AND(G198&gt;0,SUMIFS($G$2:$G$201,$E$2:$E$201,E198,$AH$2:$AH$201,"Confirmado")=4),AND(H198&gt;0,SUMIFS($H$2:$H$201,$E$2:$E$201,E198,$AH$2:$AH$201,"Confirmado")=4),AND(I198&gt;0,SUMIFS($I$2:$I$201,$E$2:$E$201,E198,$AH$2:$AH$201,"Confirmado")=4)),"Sí","No"))))</f>
        <v/>
      </c>
      <c r="AM198" s="2" t="str">
        <f aca="false">IF(A198="","",IF(AH198&lt;&gt;"Confirmado","",IF(AG198="CO/SO₂ simultáneos",IF(OR(COUNTIFS($E$2:$E$201,E198,$AH$2:$AH$201,"Confirmado",$AG$2:$AG$201,"CO/SO₂ simultáneos")&gt;3,SUMIFS($J$2:$J$201,$E$2:$E$201,E198,$AH$2:$AH$201,"Confirmado",$AG$2:$AG$201,"CO/SO₂ simultáneos")&gt;6),"CAPACIDAD EXCEDIDA","OK"),IF(OR(SUMIFS($F$2:$F$201,$E$2:$E$201,E198,$AH$2:$AH$201,"Confirmado")&gt;4,SUMIFS($G$2:$G$201,$E$2:$E$201,E198,$AH$2:$AH$201,"Confirmado")&gt;4,SUMIFS($H$2:$H$201,$E$2:$E$201,E198,$AH$2:$AH$201,"Confirmado")&gt;4,SUMIFS($I$2:$I$201,$E$2:$E$201,E198,$AH$2:$AH$201,"Confirmado")&gt;4),"CAPACIDAD EXCEDIDA","OK"))))</f>
        <v/>
      </c>
      <c r="AN198" s="2" t="str">
        <f aca="true">IF(A198="","",IF(AND(AC198&lt;1,Q198&lt;TODAY(),AH198="Aceptado pendiente de pago/orden"),"PLAZO VENCIDO",IF(AND(AC198&lt;1,AD198&lt;&gt;"",AD198&lt;TODAY()),"VENCIDO","OK")))</f>
        <v/>
      </c>
      <c r="AO198" s="6"/>
      <c r="AP198" s="8"/>
      <c r="AQ198" s="6"/>
      <c r="AR198" s="6" t="s">
        <v>73</v>
      </c>
      <c r="AS198" s="6"/>
      <c r="AT198" s="6"/>
      <c r="AU198" s="6"/>
      <c r="AV198" s="6"/>
      <c r="AW198" s="8" t="str">
        <f aca="false">IF(AV198="","",AV198+60)</f>
        <v/>
      </c>
      <c r="AX198" s="11" t="str">
        <f aca="true">IF(A198="","",IF(AND(AV198&lt;&gt;"",AW198&lt;TODAY(),OR(AH198="Interés",AH198="Cotizado")),"Sí","No"))</f>
        <v/>
      </c>
      <c r="AY198" s="6"/>
      <c r="AZ198" s="6"/>
      <c r="BA198" s="6"/>
      <c r="BB198" s="6"/>
      <c r="BC198" s="4"/>
      <c r="BD198" s="12"/>
    </row>
    <row r="199" customFormat="false" ht="23.8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2" t="n">
        <f aca="false">SUM(F199:I199)</f>
        <v>0</v>
      </c>
      <c r="K199" s="6"/>
      <c r="L199" s="6"/>
      <c r="M199" s="7"/>
      <c r="N199" s="7"/>
      <c r="O199" s="8"/>
      <c r="P199" s="8"/>
      <c r="Q199" s="8"/>
      <c r="R199" s="8"/>
      <c r="S199" s="8"/>
      <c r="T199" s="6"/>
      <c r="U199" s="6"/>
      <c r="V199" s="6"/>
      <c r="W199" s="6"/>
      <c r="X199" s="8"/>
      <c r="Y199" s="6"/>
      <c r="Z199" s="6"/>
      <c r="AA199" s="7"/>
      <c r="AB199" s="9" t="str">
        <f aca="false">IF(N199="","",MAX(0,N199-AA199))</f>
        <v/>
      </c>
      <c r="AC199" s="10" t="str">
        <f aca="false">IF(N199="","",IF(N199=0,0,AA199/N199))</f>
        <v/>
      </c>
      <c r="AD199" s="8"/>
      <c r="AE199" s="6"/>
      <c r="AF199" s="6"/>
      <c r="AG199" s="6"/>
      <c r="AH199" s="6"/>
      <c r="AI199" s="2" t="str">
        <f aca="false">IF(A199="","",IF(V199="Yes",IF(U199="Yes",1,2),""))</f>
        <v/>
      </c>
      <c r="AJ199" s="8"/>
      <c r="AK199" s="2" t="str">
        <f aca="false">IF(A199="","",IF(AJ199="","",COUNTIFS($E$2:$E$201,E199,$AI$2:$AI$201,AI199,$AJ$2:$AJ$201,"&lt;="&amp;AJ199)))</f>
        <v/>
      </c>
      <c r="AL199" s="2" t="str">
        <f aca="false">IF(A199="","",IF(AH199&lt;&gt;"Confirmado","No",IF(AG199="CO/SO₂ simultáneos",IF(OR(COUNTIFS($E$2:$E$201,E199,$AH$2:$AH$201,"Confirmado",$AG$2:$AG$201,"CO/SO₂ simultáneos")=3,SUMIFS($J$2:$J$201,$E$2:$E$201,E199,$AH$2:$AH$201,"Confirmado",$AG$2:$AG$201,"CO/SO₂ simultáneos")=6),"Sí","No"),IF(OR(AND(F199&gt;0,SUMIFS($F$2:$F$201,$E$2:$E$201,E199,$AH$2:$AH$201,"Confirmado")=4),AND(G199&gt;0,SUMIFS($G$2:$G$201,$E$2:$E$201,E199,$AH$2:$AH$201,"Confirmado")=4),AND(H199&gt;0,SUMIFS($H$2:$H$201,$E$2:$E$201,E199,$AH$2:$AH$201,"Confirmado")=4),AND(I199&gt;0,SUMIFS($I$2:$I$201,$E$2:$E$201,E199,$AH$2:$AH$201,"Confirmado")=4)),"Sí","No"))))</f>
        <v/>
      </c>
      <c r="AM199" s="2" t="str">
        <f aca="false">IF(A199="","",IF(AH199&lt;&gt;"Confirmado","",IF(AG199="CO/SO₂ simultáneos",IF(OR(COUNTIFS($E$2:$E$201,E199,$AH$2:$AH$201,"Confirmado",$AG$2:$AG$201,"CO/SO₂ simultáneos")&gt;3,SUMIFS($J$2:$J$201,$E$2:$E$201,E199,$AH$2:$AH$201,"Confirmado",$AG$2:$AG$201,"CO/SO₂ simultáneos")&gt;6),"CAPACIDAD EXCEDIDA","OK"),IF(OR(SUMIFS($F$2:$F$201,$E$2:$E$201,E199,$AH$2:$AH$201,"Confirmado")&gt;4,SUMIFS($G$2:$G$201,$E$2:$E$201,E199,$AH$2:$AH$201,"Confirmado")&gt;4,SUMIFS($H$2:$H$201,$E$2:$E$201,E199,$AH$2:$AH$201,"Confirmado")&gt;4,SUMIFS($I$2:$I$201,$E$2:$E$201,E199,$AH$2:$AH$201,"Confirmado")&gt;4),"CAPACIDAD EXCEDIDA","OK"))))</f>
        <v/>
      </c>
      <c r="AN199" s="2" t="str">
        <f aca="true">IF(A199="","",IF(AND(AC199&lt;1,Q199&lt;TODAY(),AH199="Aceptado pendiente de pago/orden"),"PLAZO VENCIDO",IF(AND(AC199&lt;1,AD199&lt;&gt;"",AD199&lt;TODAY()),"VENCIDO","OK")))</f>
        <v/>
      </c>
      <c r="AO199" s="6"/>
      <c r="AP199" s="8"/>
      <c r="AQ199" s="6"/>
      <c r="AR199" s="6" t="s">
        <v>73</v>
      </c>
      <c r="AS199" s="6"/>
      <c r="AT199" s="6"/>
      <c r="AU199" s="6"/>
      <c r="AV199" s="6"/>
      <c r="AW199" s="8" t="str">
        <f aca="false">IF(AV199="","",AV199+60)</f>
        <v/>
      </c>
      <c r="AX199" s="11" t="str">
        <f aca="true">IF(A199="","",IF(AND(AV199&lt;&gt;"",AW199&lt;TODAY(),OR(AH199="Interés",AH199="Cotizado")),"Sí","No"))</f>
        <v/>
      </c>
      <c r="AY199" s="6"/>
      <c r="AZ199" s="6"/>
      <c r="BA199" s="6"/>
      <c r="BB199" s="6"/>
      <c r="BC199" s="4"/>
      <c r="BD199" s="12"/>
    </row>
    <row r="200" customFormat="false" ht="23.8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2" t="n">
        <f aca="false">SUM(F200:I200)</f>
        <v>0</v>
      </c>
      <c r="K200" s="6"/>
      <c r="L200" s="6"/>
      <c r="M200" s="7"/>
      <c r="N200" s="7"/>
      <c r="O200" s="8"/>
      <c r="P200" s="8"/>
      <c r="Q200" s="8"/>
      <c r="R200" s="8"/>
      <c r="S200" s="8"/>
      <c r="T200" s="6"/>
      <c r="U200" s="6"/>
      <c r="V200" s="6"/>
      <c r="W200" s="6"/>
      <c r="X200" s="8"/>
      <c r="Y200" s="6"/>
      <c r="Z200" s="6"/>
      <c r="AA200" s="7"/>
      <c r="AB200" s="9" t="str">
        <f aca="false">IF(N200="","",MAX(0,N200-AA200))</f>
        <v/>
      </c>
      <c r="AC200" s="10" t="str">
        <f aca="false">IF(N200="","",IF(N200=0,0,AA200/N200))</f>
        <v/>
      </c>
      <c r="AD200" s="8"/>
      <c r="AE200" s="6"/>
      <c r="AF200" s="6"/>
      <c r="AG200" s="6"/>
      <c r="AH200" s="6"/>
      <c r="AI200" s="2" t="str">
        <f aca="false">IF(A200="","",IF(V200="Yes",IF(U200="Yes",1,2),""))</f>
        <v/>
      </c>
      <c r="AJ200" s="8"/>
      <c r="AK200" s="2" t="str">
        <f aca="false">IF(A200="","",IF(AJ200="","",COUNTIFS($E$2:$E$201,E200,$AI$2:$AI$201,AI200,$AJ$2:$AJ$201,"&lt;="&amp;AJ200)))</f>
        <v/>
      </c>
      <c r="AL200" s="2" t="str">
        <f aca="false">IF(A200="","",IF(AH200&lt;&gt;"Confirmado","No",IF(AG200="CO/SO₂ simultáneos",IF(OR(COUNTIFS($E$2:$E$201,E200,$AH$2:$AH$201,"Confirmado",$AG$2:$AG$201,"CO/SO₂ simultáneos")=3,SUMIFS($J$2:$J$201,$E$2:$E$201,E200,$AH$2:$AH$201,"Confirmado",$AG$2:$AG$201,"CO/SO₂ simultáneos")=6),"Sí","No"),IF(OR(AND(F200&gt;0,SUMIFS($F$2:$F$201,$E$2:$E$201,E200,$AH$2:$AH$201,"Confirmado")=4),AND(G200&gt;0,SUMIFS($G$2:$G$201,$E$2:$E$201,E200,$AH$2:$AH$201,"Confirmado")=4),AND(H200&gt;0,SUMIFS($H$2:$H$201,$E$2:$E$201,E200,$AH$2:$AH$201,"Confirmado")=4),AND(I200&gt;0,SUMIFS($I$2:$I$201,$E$2:$E$201,E200,$AH$2:$AH$201,"Confirmado")=4)),"Sí","No"))))</f>
        <v/>
      </c>
      <c r="AM200" s="2" t="str">
        <f aca="false">IF(A200="","",IF(AH200&lt;&gt;"Confirmado","",IF(AG200="CO/SO₂ simultáneos",IF(OR(COUNTIFS($E$2:$E$201,E200,$AH$2:$AH$201,"Confirmado",$AG$2:$AG$201,"CO/SO₂ simultáneos")&gt;3,SUMIFS($J$2:$J$201,$E$2:$E$201,E200,$AH$2:$AH$201,"Confirmado",$AG$2:$AG$201,"CO/SO₂ simultáneos")&gt;6),"CAPACIDAD EXCEDIDA","OK"),IF(OR(SUMIFS($F$2:$F$201,$E$2:$E$201,E200,$AH$2:$AH$201,"Confirmado")&gt;4,SUMIFS($G$2:$G$201,$E$2:$E$201,E200,$AH$2:$AH$201,"Confirmado")&gt;4,SUMIFS($H$2:$H$201,$E$2:$E$201,E200,$AH$2:$AH$201,"Confirmado")&gt;4,SUMIFS($I$2:$I$201,$E$2:$E$201,E200,$AH$2:$AH$201,"Confirmado")&gt;4),"CAPACIDAD EXCEDIDA","OK"))))</f>
        <v/>
      </c>
      <c r="AN200" s="2" t="str">
        <f aca="true">IF(A200="","",IF(AND(AC200&lt;1,Q200&lt;TODAY(),AH200="Aceptado pendiente de pago/orden"),"PLAZO VENCIDO",IF(AND(AC200&lt;1,AD200&lt;&gt;"",AD200&lt;TODAY()),"VENCIDO","OK")))</f>
        <v/>
      </c>
      <c r="AO200" s="6"/>
      <c r="AP200" s="8"/>
      <c r="AQ200" s="6"/>
      <c r="AR200" s="6" t="s">
        <v>73</v>
      </c>
      <c r="AS200" s="6"/>
      <c r="AT200" s="6"/>
      <c r="AU200" s="6"/>
      <c r="AV200" s="6"/>
      <c r="AW200" s="8" t="str">
        <f aca="false">IF(AV200="","",AV200+60)</f>
        <v/>
      </c>
      <c r="AX200" s="11" t="str">
        <f aca="true">IF(A200="","",IF(AND(AV200&lt;&gt;"",AW200&lt;TODAY(),OR(AH200="Interés",AH200="Cotizado")),"Sí","No"))</f>
        <v/>
      </c>
      <c r="AY200" s="6"/>
      <c r="AZ200" s="6"/>
      <c r="BA200" s="6"/>
      <c r="BB200" s="6"/>
      <c r="BC200" s="4"/>
      <c r="BD200" s="12"/>
    </row>
    <row r="201" customFormat="false" ht="23.8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2" t="n">
        <f aca="false">SUM(F201:I201)</f>
        <v>0</v>
      </c>
      <c r="K201" s="6"/>
      <c r="L201" s="6"/>
      <c r="M201" s="7"/>
      <c r="N201" s="7"/>
      <c r="O201" s="8"/>
      <c r="P201" s="8"/>
      <c r="Q201" s="8"/>
      <c r="R201" s="8"/>
      <c r="S201" s="8"/>
      <c r="T201" s="6"/>
      <c r="U201" s="6"/>
      <c r="V201" s="6"/>
      <c r="W201" s="6"/>
      <c r="X201" s="8"/>
      <c r="Y201" s="6"/>
      <c r="Z201" s="6"/>
      <c r="AA201" s="7"/>
      <c r="AB201" s="9" t="str">
        <f aca="false">IF(N201="","",MAX(0,N201-AA201))</f>
        <v/>
      </c>
      <c r="AC201" s="10" t="str">
        <f aca="false">IF(N201="","",IF(N201=0,0,AA201/N201))</f>
        <v/>
      </c>
      <c r="AD201" s="8"/>
      <c r="AE201" s="6"/>
      <c r="AF201" s="6"/>
      <c r="AG201" s="6"/>
      <c r="AH201" s="6"/>
      <c r="AI201" s="2" t="str">
        <f aca="false">IF(A201="","",IF(V201="Yes",IF(U201="Yes",1,2),""))</f>
        <v/>
      </c>
      <c r="AJ201" s="8"/>
      <c r="AK201" s="2" t="str">
        <f aca="false">IF(A201="","",IF(AJ201="","",COUNTIFS($E$2:$E$201,E201,$AI$2:$AI$201,AI201,$AJ$2:$AJ$201,"&lt;="&amp;AJ201)))</f>
        <v/>
      </c>
      <c r="AL201" s="2" t="str">
        <f aca="false">IF(A201="","",IF(AH201&lt;&gt;"Confirmado","No",IF(AG201="CO/SO₂ simultáneos",IF(OR(COUNTIFS($E$2:$E$201,E201,$AH$2:$AH$201,"Confirmado",$AG$2:$AG$201,"CO/SO₂ simultáneos")=3,SUMIFS($J$2:$J$201,$E$2:$E$201,E201,$AH$2:$AH$201,"Confirmado",$AG$2:$AG$201,"CO/SO₂ simultáneos")=6),"Sí","No"),IF(OR(AND(F201&gt;0,SUMIFS($F$2:$F$201,$E$2:$E$201,E201,$AH$2:$AH$201,"Confirmado")=4),AND(G201&gt;0,SUMIFS($G$2:$G$201,$E$2:$E$201,E201,$AH$2:$AH$201,"Confirmado")=4),AND(H201&gt;0,SUMIFS($H$2:$H$201,$E$2:$E$201,E201,$AH$2:$AH$201,"Confirmado")=4),AND(I201&gt;0,SUMIFS($I$2:$I$201,$E$2:$E$201,E201,$AH$2:$AH$201,"Confirmado")=4)),"Sí","No"))))</f>
        <v/>
      </c>
      <c r="AM201" s="2" t="str">
        <f aca="false">IF(A201="","",IF(AH201&lt;&gt;"Confirmado","",IF(AG201="CO/SO₂ simultáneos",IF(OR(COUNTIFS($E$2:$E$201,E201,$AH$2:$AH$201,"Confirmado",$AG$2:$AG$201,"CO/SO₂ simultáneos")&gt;3,SUMIFS($J$2:$J$201,$E$2:$E$201,E201,$AH$2:$AH$201,"Confirmado",$AG$2:$AG$201,"CO/SO₂ simultáneos")&gt;6),"CAPACIDAD EXCEDIDA","OK"),IF(OR(SUMIFS($F$2:$F$201,$E$2:$E$201,E201,$AH$2:$AH$201,"Confirmado")&gt;4,SUMIFS($G$2:$G$201,$E$2:$E$201,E201,$AH$2:$AH$201,"Confirmado")&gt;4,SUMIFS($H$2:$H$201,$E$2:$E$201,E201,$AH$2:$AH$201,"Confirmado")&gt;4,SUMIFS($I$2:$I$201,$E$2:$E$201,E201,$AH$2:$AH$201,"Confirmado")&gt;4),"CAPACIDAD EXCEDIDA","OK"))))</f>
        <v/>
      </c>
      <c r="AN201" s="2" t="str">
        <f aca="true">IF(A201="","",IF(AND(AC201&lt;1,Q201&lt;TODAY(),AH201="Aceptado pendiente de pago/orden"),"PLAZO VENCIDO",IF(AND(AC201&lt;1,AD201&lt;&gt;"",AD201&lt;TODAY()),"VENCIDO","OK")))</f>
        <v/>
      </c>
      <c r="AO201" s="6"/>
      <c r="AP201" s="8"/>
      <c r="AQ201" s="6"/>
      <c r="AR201" s="6" t="s">
        <v>73</v>
      </c>
      <c r="AS201" s="6"/>
      <c r="AT201" s="6"/>
      <c r="AU201" s="6"/>
      <c r="AV201" s="6"/>
      <c r="AW201" s="8" t="str">
        <f aca="false">IF(AV201="","",AV201+60)</f>
        <v/>
      </c>
      <c r="AX201" s="11" t="str">
        <f aca="true">IF(A201="","",IF(AND(AV201&lt;&gt;"",AW201&lt;TODAY(),OR(AH201="Interés",AH201="Cotizado")),"Sí","No"))</f>
        <v/>
      </c>
      <c r="AY201" s="6"/>
      <c r="AZ201" s="6"/>
      <c r="BA201" s="6"/>
      <c r="BB201" s="6"/>
      <c r="BC201" s="4"/>
      <c r="BD201" s="12"/>
    </row>
  </sheetData>
  <sheetProtection sheet="true" password="96eb" objects="true" scenarios="true"/>
  <dataValidations count="9">
    <dataValidation allowBlank="true" error="Seleccione un valor de la lista controlada." errorStyle="stop" errorTitle="Valor no permitido" operator="equal" showDropDown="false" showErrorMessage="true" showInputMessage="false" sqref="D2:D201" type="list">
      <formula1>"Español"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T2:T201" type="list">
      <formula1>"Correo institucional;Cotización firmada;Orden de compra aceptada"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U2:V201" type="list">
      <formula1>"Sí;No"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W2:W201" type="list">
      <formula1>"Pendiente;Aprobada;Rechazada"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Z2:Z201" type="list">
      <formula1>"Pendiente;Parcial;Recibido;Facturado;Pagado;Vencido"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AG2:AG201" type="list">
      <formula1>"Gas individual;CO/SO₂ simultáneos"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AH2:AH201" type="list">
      <formula1>"Interés;Cotizado;Inscrito;En revisión;Revisión de cotización en curso;Aceptado pendiente de pago/orden;Confirmado;En lista de espera;Rechazado;Retirado"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AO2:AO201" type="list">
      <formula1>";Abierto;Cancelado;Reembolsado;En disputa"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AY2:AY201" type="list">
      <formula1>"Sí;No;No solicitado"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3" t="s">
        <v>74</v>
      </c>
      <c r="B1" s="13"/>
      <c r="C1" s="13"/>
      <c r="D1" s="13"/>
      <c r="E1" s="13"/>
    </row>
    <row r="2" customFormat="false" ht="12.8" hidden="false" customHeight="false" outlineLevel="0" collapsed="false">
      <c r="A2" s="14" t="s">
        <v>75</v>
      </c>
      <c r="B2" s="14"/>
      <c r="C2" s="14"/>
      <c r="D2" s="14"/>
      <c r="E2" s="14"/>
    </row>
    <row r="3" customFormat="false" ht="12.8" hidden="false" customHeight="false" outlineLevel="0" collapsed="false">
      <c r="A3" s="14"/>
      <c r="B3" s="14"/>
      <c r="C3" s="14"/>
      <c r="D3" s="14"/>
      <c r="E3" s="14"/>
    </row>
    <row r="4" customFormat="false" ht="12.8" hidden="false" customHeight="false" outlineLevel="0" collapsed="false">
      <c r="A4" s="14" t="s">
        <v>76</v>
      </c>
      <c r="B4" s="14" t="n">
        <f aca="false">COUNTIFS(Tracker!AH2:AH201,"Interés",Tracker!AX2:AX201,"No")</f>
        <v>0</v>
      </c>
      <c r="C4" s="14"/>
      <c r="D4" s="14"/>
      <c r="E4" s="14"/>
    </row>
    <row r="5" customFormat="false" ht="12.8" hidden="false" customHeight="false" outlineLevel="0" collapsed="false">
      <c r="A5" s="14" t="s">
        <v>77</v>
      </c>
      <c r="B5" s="14" t="n">
        <f aca="false">COUNTIFS(Tracker!AH2:AH201,"Cotizado",Tracker!AX2:AX201,"No")</f>
        <v>0</v>
      </c>
      <c r="C5" s="14"/>
      <c r="D5" s="14"/>
      <c r="E5" s="14"/>
    </row>
    <row r="6" customFormat="false" ht="12.8" hidden="false" customHeight="false" outlineLevel="0" collapsed="false">
      <c r="A6" s="14" t="s">
        <v>78</v>
      </c>
      <c r="B6" s="14" t="n">
        <f aca="false">COUNTIF(Tracker!AH2:AH201,"Revisión de cotización en curso")</f>
        <v>0</v>
      </c>
      <c r="C6" s="14"/>
      <c r="D6" s="14"/>
      <c r="E6" s="14"/>
    </row>
    <row r="7" customFormat="false" ht="12.8" hidden="false" customHeight="false" outlineLevel="0" collapsed="false">
      <c r="A7" s="14" t="s">
        <v>79</v>
      </c>
      <c r="B7" s="14" t="n">
        <f aca="false">COUNTIF(Tracker!AX2:AX201,"Sí")</f>
        <v>0</v>
      </c>
      <c r="C7" s="14"/>
      <c r="D7" s="14"/>
      <c r="E7" s="14"/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3" t="s">
        <v>80</v>
      </c>
      <c r="B1" s="13"/>
      <c r="C1" s="13"/>
      <c r="D1" s="13"/>
      <c r="E1" s="13"/>
    </row>
    <row r="2" customFormat="false" ht="12.8" hidden="false" customHeight="false" outlineLevel="0" collapsed="false">
      <c r="A2" s="14" t="s">
        <v>81</v>
      </c>
      <c r="B2" s="14"/>
      <c r="C2" s="14"/>
      <c r="D2" s="14"/>
      <c r="E2" s="14"/>
    </row>
    <row r="3" customFormat="false" ht="12.8" hidden="false" customHeight="false" outlineLevel="0" collapsed="false">
      <c r="A3" s="14" t="s">
        <v>23</v>
      </c>
      <c r="B3" s="15"/>
      <c r="C3" s="14"/>
      <c r="D3" s="14"/>
      <c r="E3" s="14"/>
    </row>
    <row r="4" customFormat="false" ht="12.8" hidden="false" customHeight="false" outlineLevel="0" collapsed="false">
      <c r="A4" s="14"/>
      <c r="B4" s="14"/>
      <c r="C4" s="14"/>
      <c r="D4" s="14"/>
      <c r="E4" s="14"/>
    </row>
    <row r="5" customFormat="false" ht="12.8" hidden="false" customHeight="false" outlineLevel="0" collapsed="false">
      <c r="A5" s="5" t="s">
        <v>82</v>
      </c>
      <c r="B5" s="5" t="s">
        <v>83</v>
      </c>
      <c r="C5" s="5" t="s">
        <v>84</v>
      </c>
      <c r="D5" s="5" t="s">
        <v>85</v>
      </c>
      <c r="E5" s="5" t="s">
        <v>86</v>
      </c>
    </row>
    <row r="6" customFormat="false" ht="12.8" hidden="false" customHeight="false" outlineLevel="0" collapsed="false">
      <c r="A6" s="14" t="s">
        <v>24</v>
      </c>
      <c r="B6" s="14" t="n">
        <f aca="false">SUMIFS(Tracker!F2:F201,Tracker!E2:E201,$B$3,Tracker!AH2:AH201,"Confirmed")</f>
        <v>0</v>
      </c>
      <c r="C6" s="16" t="s">
        <v>87</v>
      </c>
      <c r="D6" s="14" t="n">
        <f aca="false">C6-B6</f>
        <v>4</v>
      </c>
      <c r="E6" s="14" t="str">
        <f aca="false">IF(D6&lt;0,"OVER CAPACITY",IF(D6=0,"LAST SLOT","OK"))</f>
        <v>OK</v>
      </c>
    </row>
    <row r="7" customFormat="false" ht="12.8" hidden="false" customHeight="false" outlineLevel="0" collapsed="false">
      <c r="A7" s="14" t="s">
        <v>25</v>
      </c>
      <c r="B7" s="14" t="n">
        <f aca="false">SUMIFS(Tracker!G2:G201,Tracker!E2:E201,$B$3,Tracker!AH2:AH201,"Confirmed")</f>
        <v>0</v>
      </c>
      <c r="C7" s="16" t="s">
        <v>87</v>
      </c>
      <c r="D7" s="14" t="n">
        <f aca="false">C7-B7</f>
        <v>4</v>
      </c>
      <c r="E7" s="14" t="str">
        <f aca="false">IF(D7&lt;0,"OVER CAPACITY",IF(D7=0,"LAST SLOT","OK"))</f>
        <v>OK</v>
      </c>
    </row>
    <row r="8" customFormat="false" ht="12.8" hidden="false" customHeight="false" outlineLevel="0" collapsed="false">
      <c r="A8" s="14" t="s">
        <v>26</v>
      </c>
      <c r="B8" s="14" t="n">
        <f aca="false">SUMIFS(Tracker!H2:H201,Tracker!E2:E201,$B$3,Tracker!AH2:AH201,"Confirmed")</f>
        <v>0</v>
      </c>
      <c r="C8" s="16" t="s">
        <v>87</v>
      </c>
      <c r="D8" s="14" t="n">
        <f aca="false">C8-B8</f>
        <v>4</v>
      </c>
      <c r="E8" s="14" t="str">
        <f aca="false">IF(D8&lt;0,"OVER CAPACITY",IF(D8=0,"LAST SLOT","OK"))</f>
        <v>OK</v>
      </c>
    </row>
    <row r="9" customFormat="false" ht="12.8" hidden="false" customHeight="false" outlineLevel="0" collapsed="false">
      <c r="A9" s="14" t="s">
        <v>27</v>
      </c>
      <c r="B9" s="14" t="n">
        <f aca="false">SUMIFS(Tracker!I2:I201,Tracker!E2:E201,$B$3,Tracker!AH2:AH201,"Confirmed")</f>
        <v>0</v>
      </c>
      <c r="C9" s="16" t="s">
        <v>87</v>
      </c>
      <c r="D9" s="14" t="n">
        <f aca="false">C9-B9</f>
        <v>4</v>
      </c>
      <c r="E9" s="14" t="str">
        <f aca="false">IF(D9&lt;0,"OVER CAPACITY",IF(D9=0,"LAST SLOT","OK"))</f>
        <v>OK</v>
      </c>
    </row>
    <row r="10" customFormat="false" ht="12.8" hidden="false" customHeight="false" outlineLevel="0" collapsed="false">
      <c r="A10" s="14"/>
      <c r="B10" s="14"/>
      <c r="C10" s="14"/>
      <c r="D10" s="14"/>
      <c r="E10" s="14"/>
    </row>
    <row r="11" customFormat="false" ht="12.8" hidden="false" customHeight="false" outlineLevel="0" collapsed="false">
      <c r="A11" s="14" t="s">
        <v>88</v>
      </c>
      <c r="B11" s="14" t="n">
        <f aca="false">COUNTIFS(Tracker!E2:E201,$B$3,Tracker!AH2:AH201,"Confirmed",Tracker!AG2:AG201,"Simultaneous CO/SO₂")</f>
        <v>0</v>
      </c>
      <c r="C11" s="16" t="s">
        <v>89</v>
      </c>
      <c r="D11" s="14" t="n">
        <f aca="false">C11-B11</f>
        <v>3</v>
      </c>
      <c r="E11" s="14" t="str">
        <f aca="false">IF(D11&lt;0,"OVER CAPACITY",IF(D11=0,"LAST SLOT","OK"))</f>
        <v>OK</v>
      </c>
    </row>
    <row r="12" customFormat="false" ht="12.8" hidden="false" customHeight="false" outlineLevel="0" collapsed="false">
      <c r="A12" s="14" t="s">
        <v>90</v>
      </c>
      <c r="B12" s="14" t="n">
        <f aca="false">SUMIFS(Tracker!J2:J201,Tracker!E2:E201,$B$3,Tracker!AH2:AH201,"Confirmed",Tracker!AG2:AG201,"Simultaneous CO/SO₂")</f>
        <v>0</v>
      </c>
      <c r="C12" s="16" t="s">
        <v>91</v>
      </c>
      <c r="D12" s="14" t="n">
        <f aca="false">C12-B12</f>
        <v>6</v>
      </c>
      <c r="E12" s="14" t="str">
        <f aca="false">IF(D12&lt;0,"OVER CAPACITY",IF(D12=0,"LAST SLOT","OK"))</f>
        <v>OK</v>
      </c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3" t="s">
        <v>92</v>
      </c>
      <c r="B1" s="13"/>
      <c r="C1" s="13"/>
      <c r="D1" s="13"/>
      <c r="E1" s="13"/>
    </row>
    <row r="2" customFormat="false" ht="12.8" hidden="false" customHeight="false" outlineLevel="0" collapsed="false">
      <c r="A2" s="14" t="s">
        <v>93</v>
      </c>
      <c r="B2" s="14"/>
      <c r="C2" s="14"/>
      <c r="D2" s="14"/>
      <c r="E2" s="14"/>
    </row>
    <row r="3" customFormat="false" ht="12.8" hidden="false" customHeight="false" outlineLevel="0" collapsed="false">
      <c r="A3" s="14" t="s">
        <v>23</v>
      </c>
      <c r="B3" s="15"/>
      <c r="C3" s="14"/>
      <c r="D3" s="14"/>
      <c r="E3" s="14"/>
    </row>
    <row r="4" customFormat="false" ht="12.8" hidden="false" customHeight="false" outlineLevel="0" collapsed="false">
      <c r="A4" s="14" t="s">
        <v>94</v>
      </c>
      <c r="B4" s="15"/>
      <c r="C4" s="14"/>
      <c r="D4" s="14"/>
      <c r="E4" s="14"/>
    </row>
    <row r="5" customFormat="false" ht="12.8" hidden="false" customHeight="false" outlineLevel="0" collapsed="false">
      <c r="A5" s="14" t="s">
        <v>95</v>
      </c>
      <c r="B5" s="14" t="n">
        <f aca="false">COUNTIFS(Tracker!E2:E201,B3,Tracker!AH2:AH201,"Confirmado")</f>
        <v>0</v>
      </c>
      <c r="C5" s="14"/>
      <c r="D5" s="14"/>
      <c r="E5" s="14"/>
    </row>
    <row r="6" customFormat="false" ht="12.8" hidden="false" customHeight="false" outlineLevel="0" collapsed="false">
      <c r="A6" s="14" t="s">
        <v>96</v>
      </c>
      <c r="B6" s="14" t="n">
        <f aca="false">SUMIFS(Tracker!N2:N201,Tracker!E2:E201,B3,Tracker!AH2:AH201,"Confirmado")</f>
        <v>0</v>
      </c>
      <c r="C6" s="14"/>
      <c r="D6" s="14"/>
      <c r="E6" s="14"/>
    </row>
    <row r="7" customFormat="false" ht="12.8" hidden="false" customHeight="false" outlineLevel="0" collapsed="false">
      <c r="A7" s="14" t="s">
        <v>97</v>
      </c>
      <c r="B7" s="14" t="n">
        <f aca="false">B6-B4</f>
        <v>0</v>
      </c>
      <c r="C7" s="14"/>
      <c r="D7" s="14"/>
      <c r="E7" s="14"/>
    </row>
    <row r="8" customFormat="false" ht="12.8" hidden="false" customHeight="false" outlineLevel="0" collapsed="false">
      <c r="A8" s="14" t="s">
        <v>98</v>
      </c>
      <c r="B8" s="14" t="str">
        <f aca="false">IF(B4="","PENDIENTE CS-04",IF(B6&gt;=B4,"CUMPLE EL UMBRAL","POR DEBAJO DEL UMBRAL"))</f>
        <v>PENDIENTE CS-04</v>
      </c>
      <c r="C8" s="14"/>
      <c r="D8" s="14"/>
      <c r="E8" s="14"/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3" t="s">
        <v>99</v>
      </c>
      <c r="B1" s="13"/>
      <c r="C1" s="13"/>
      <c r="D1" s="13"/>
      <c r="E1" s="13"/>
    </row>
    <row r="2" customFormat="false" ht="12.8" hidden="false" customHeight="false" outlineLevel="0" collapsed="false">
      <c r="A2" s="14" t="s">
        <v>100</v>
      </c>
      <c r="B2" s="14"/>
      <c r="C2" s="14"/>
      <c r="D2" s="14"/>
      <c r="E2" s="14"/>
    </row>
    <row r="3" customFormat="false" ht="12.8" hidden="false" customHeight="false" outlineLevel="0" collapsed="false">
      <c r="A3" s="14"/>
      <c r="B3" s="14"/>
      <c r="C3" s="14"/>
      <c r="D3" s="14"/>
      <c r="E3" s="14"/>
    </row>
    <row r="4" customFormat="false" ht="12.8" hidden="false" customHeight="false" outlineLevel="0" collapsed="false">
      <c r="A4" s="14" t="s">
        <v>101</v>
      </c>
      <c r="B4" s="17" t="n">
        <f aca="false">SUM(Tracker!N2:N201)</f>
        <v>0</v>
      </c>
      <c r="C4" s="14"/>
      <c r="D4" s="14"/>
      <c r="E4" s="14"/>
    </row>
    <row r="5" customFormat="false" ht="12.8" hidden="false" customHeight="false" outlineLevel="0" collapsed="false">
      <c r="A5" s="14" t="s">
        <v>102</v>
      </c>
      <c r="B5" s="17" t="n">
        <f aca="false">SUM(Tracker!AA2:AA201)</f>
        <v>0</v>
      </c>
      <c r="C5" s="14"/>
      <c r="D5" s="14"/>
      <c r="E5" s="14"/>
    </row>
    <row r="6" customFormat="false" ht="12.8" hidden="false" customHeight="false" outlineLevel="0" collapsed="false">
      <c r="A6" s="14" t="s">
        <v>103</v>
      </c>
      <c r="B6" s="17" t="n">
        <f aca="false">SUM(Tracker!AB2:AB201)</f>
        <v>0</v>
      </c>
      <c r="C6" s="14"/>
      <c r="D6" s="14"/>
      <c r="E6" s="14"/>
    </row>
    <row r="7" customFormat="false" ht="12.8" hidden="false" customHeight="false" outlineLevel="0" collapsed="false">
      <c r="A7" s="14" t="s">
        <v>104</v>
      </c>
      <c r="B7" s="14" t="n">
        <f aca="false">COUNTIF(Tracker!AN2:AN201,"OVERDUE")</f>
        <v>0</v>
      </c>
      <c r="C7" s="14"/>
      <c r="D7" s="14"/>
      <c r="E7" s="14"/>
    </row>
    <row r="8" customFormat="false" ht="12.8" hidden="false" customHeight="false" outlineLevel="0" collapsed="false">
      <c r="A8" s="14" t="s">
        <v>105</v>
      </c>
      <c r="B8" s="14" t="n">
        <f aca="false">COUNTIF(Tracker!AN2:AN201,"DEADLINE EXPIRED")</f>
        <v>0</v>
      </c>
      <c r="C8" s="14"/>
      <c r="D8" s="14"/>
      <c r="E8" s="14"/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3" t="s">
        <v>106</v>
      </c>
      <c r="B1" s="13"/>
      <c r="C1" s="13"/>
      <c r="D1" s="13"/>
      <c r="E1" s="13"/>
    </row>
    <row r="2" customFormat="false" ht="12.8" hidden="false" customHeight="false" outlineLevel="0" collapsed="false">
      <c r="A2" s="14" t="s">
        <v>107</v>
      </c>
      <c r="B2" s="14"/>
      <c r="C2" s="14"/>
      <c r="D2" s="14"/>
      <c r="E2" s="14"/>
    </row>
    <row r="3" customFormat="false" ht="12.8" hidden="false" customHeight="false" outlineLevel="0" collapsed="false">
      <c r="A3" s="14"/>
      <c r="B3" s="14"/>
      <c r="C3" s="14"/>
      <c r="D3" s="14"/>
      <c r="E3" s="14"/>
    </row>
    <row r="4" customFormat="false" ht="12.8" hidden="false" customHeight="false" outlineLevel="0" collapsed="false">
      <c r="A4" s="14" t="s">
        <v>108</v>
      </c>
      <c r="B4" s="14" t="n">
        <f aca="false">COUNTIF(Tracker!AH2:AH201,"Wait-listed")</f>
        <v>0</v>
      </c>
      <c r="C4" s="14"/>
      <c r="D4" s="14"/>
      <c r="E4" s="14"/>
    </row>
    <row r="5" customFormat="false" ht="12.8" hidden="false" customHeight="false" outlineLevel="0" collapsed="false">
      <c r="A5" s="14" t="s">
        <v>109</v>
      </c>
      <c r="B5" s="14" t="n">
        <f aca="false">COUNTIF(Tracker!AH2:AH201,"Rejected")</f>
        <v>0</v>
      </c>
      <c r="C5" s="14"/>
      <c r="D5" s="14"/>
      <c r="E5" s="14"/>
    </row>
    <row r="6" customFormat="false" ht="12.8" hidden="false" customHeight="false" outlineLevel="0" collapsed="false">
      <c r="A6" s="14" t="s">
        <v>110</v>
      </c>
      <c r="B6" s="14" t="n">
        <f aca="false">COUNTIF(Tracker!AH2:AH201,"Withdrawn")</f>
        <v>0</v>
      </c>
      <c r="C6" s="14"/>
      <c r="D6" s="14"/>
      <c r="E6" s="14"/>
    </row>
    <row r="7" customFormat="false" ht="12.8" hidden="false" customHeight="false" outlineLevel="0" collapsed="false">
      <c r="A7" s="14" t="s">
        <v>111</v>
      </c>
      <c r="B7" s="14" t="n">
        <f aca="false">COUNTIF(Tracker!AO2:AO201,"Cancelled")</f>
        <v>0</v>
      </c>
      <c r="C7" s="14"/>
      <c r="D7" s="14"/>
      <c r="E7" s="14"/>
    </row>
    <row r="8" customFormat="false" ht="12.8" hidden="false" customHeight="false" outlineLevel="0" collapsed="false">
      <c r="A8" s="14" t="s">
        <v>112</v>
      </c>
      <c r="B8" s="14" t="n">
        <f aca="false">COUNTIF(Tracker!AO2:AO201,"Refunded")</f>
        <v>0</v>
      </c>
      <c r="C8" s="14"/>
      <c r="D8" s="14"/>
      <c r="E8" s="14"/>
    </row>
    <row r="9" customFormat="false" ht="12.8" hidden="false" customHeight="false" outlineLevel="0" collapsed="false">
      <c r="A9" s="14" t="s">
        <v>113</v>
      </c>
      <c r="B9" s="14" t="n">
        <f aca="false">COUNTIF(Tracker!AO2:AO201,"Disputed")</f>
        <v>0</v>
      </c>
      <c r="C9" s="14"/>
      <c r="D9" s="14"/>
      <c r="E9" s="14"/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4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2026-07-16T09:49:23Z</dcterms:created>
  <dc:creator/>
  <dc:description/>
  <dc:language>en-US</dc:language>
  <cp:lastModifiedBy/>
  <dcterms:modified xsi:type="dcterms:W3CDTF">2026-07-16T09:49:39Z</dcterms:modified>
  <cp:revision>1</cp:revision>
  <dc:subject/>
  <dc:title/>
</cp:coreProperties>
</file>