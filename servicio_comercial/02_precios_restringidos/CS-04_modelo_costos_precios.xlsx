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9"/>
  </bookViews>
  <sheets>
    <sheet name="01 Supuestos" sheetId="1" state="visible" r:id="rId3"/>
    <sheet name="02 Costo comun" sheetId="2" state="visible" r:id="rId4"/>
    <sheet name="03 Costo por gas" sheetId="3" state="visible" r:id="rId5"/>
    <sheet name="04 Ciclo de vida" sheetId="4" state="visible" r:id="rId6"/>
    <sheet name="05 Estrategia cilindros" sheetId="5" state="visible" r:id="rId7"/>
    <sheet name="06 Tarifa participacion" sheetId="6" state="visible" r:id="rId8"/>
    <sheet name="06A Validacion referencia" sheetId="7" state="visible" r:id="rId9"/>
    <sheet name="07 Inscripcion" sheetId="8" state="visible" r:id="rId10"/>
    <sheet name="08 Escenarios" sheetId="9" state="visible" r:id="rId11"/>
    <sheet name="09 Aprobac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<sst xmlns="http://schemas.openxmlformats.org/spreadsheetml/2006/main" count="355" uniqueCount="176">
  <si>
    <t xml:space="preserve">LABORATORIO DE CALIDAD DEL AIRE</t>
  </si>
  <si>
    <t xml:space="preserve">Código  F-PSEA-01                   </t>
  </si>
  <si>
    <t xml:space="preserve">Versión: 01</t>
  </si>
  <si>
    <t xml:space="preserve">CS-04 MODELO DE COSTOS Y PRECIOS — ACCESO RESTRINGIDO</t>
  </si>
  <si>
    <t xml:space="preserve">Página 1 de 1</t>
  </si>
  <si>
    <t xml:space="preserve">PESTAÑA 1 — SUPUESTOS</t>
  </si>
  <si>
    <t xml:space="preserve">Supuesto</t>
  </si>
  <si>
    <t xml:space="preserve">Valor</t>
  </si>
  <si>
    <t xml:space="preserve">Fuente / responsable</t>
  </si>
  <si>
    <t xml:space="preserve">Tasa de cambio de referencia</t>
  </si>
  <si>
    <t xml:space="preserve">TRM USD/COP × referencia BCE USD/EUR, solo para convertir valores de referencia</t>
  </si>
  <si>
    <t xml:space="preserve">CS-01</t>
  </si>
  <si>
    <t xml:space="preserve">Frecuencia de actualización del tipo de cambio</t>
  </si>
  <si>
    <t xml:space="preserve">En la fecha de revisión de la referencia comparativa</t>
  </si>
  <si>
    <t xml:space="preserve">Asignación del riesgo cambiario</t>
  </si>
  <si>
    <t xml:space="preserve">No aplica a clientes: cotización y facturación únicamente en COP</t>
  </si>
  <si>
    <t xml:space="preserve">Capacidad por gas (individual)</t>
  </si>
  <si>
    <t xml:space="preserve">4 analizadores</t>
  </si>
  <si>
    <t xml:space="preserve">Capacidad simultánea de CO/SO₂</t>
  </si>
  <si>
    <t xml:space="preserve">3 participantes, 6 analizadores</t>
  </si>
  <si>
    <t xml:space="preserve">Inscripción prevista</t>
  </si>
  <si>
    <t xml:space="preserve">[POR DILIGENCIAR]</t>
  </si>
  <si>
    <t xml:space="preserve">Estimación de mercado</t>
  </si>
  <si>
    <t xml:space="preserve">Impuestos (IVA, retenciones, etc.)</t>
  </si>
  <si>
    <t xml:space="preserve">Asesor tributario</t>
  </si>
  <si>
    <t xml:space="preserve">Diferencial tributario para clientes internacionales</t>
  </si>
  <si>
    <t xml:space="preserve">Margen / objetivo previsto</t>
  </si>
  <si>
    <t xml:space="preserve">Lanzamiento y validación; sin margen ni subsidio; no cotizar bajo el costo directo</t>
  </si>
  <si>
    <t xml:space="preserve">Factor de uso por ronda (fracción 0–1)</t>
  </si>
  <si>
    <t xml:space="preserve">Responsable técnico</t>
  </si>
  <si>
    <t xml:space="preserve">Momento de cobro del pago (predeterminado)</t>
  </si>
  <si>
    <t xml:space="preserve">Política financiera</t>
  </si>
  <si>
    <t xml:space="preserve">Calendario de cobro de pagos (institucional)</t>
  </si>
  <si>
    <t xml:space="preserve">PESTAÑA 2 — COSTO COMÚN</t>
  </si>
  <si>
    <t xml:space="preserve">Elemento de costo</t>
  </si>
  <si>
    <t xml:space="preserve">Importe anual (COP)</t>
  </si>
  <si>
    <t xml:space="preserve">Asignación por ronda (COP)</t>
  </si>
  <si>
    <t xml:space="preserve">Notas</t>
  </si>
  <si>
    <t xml:space="preserve">Coordinación</t>
  </si>
  <si>
    <t xml:space="preserve">Preparación de instalaciones</t>
  </si>
  <si>
    <t xml:space="preserve">Registro y administración de datos</t>
  </si>
  <si>
    <t xml:space="preserve">Entrega de informes</t>
  </si>
  <si>
    <t xml:space="preserve">Equipo compartido (calibrador, generador de aire cero)</t>
  </si>
  <si>
    <t xml:space="preserve">Desde la pestaña 04</t>
  </si>
  <si>
    <t xml:space="preserve">PESTAÑA 3 — COSTO POR GAS</t>
  </si>
  <si>
    <t xml:space="preserve">Bloque</t>
  </si>
  <si>
    <t xml:space="preserve">Costo cilindro / generación (COP)</t>
  </si>
  <si>
    <t xml:space="preserve">Ciclo de vida específico del analizador (COP)</t>
  </si>
  <si>
    <t xml:space="preserve">Asignación de costos (COP)</t>
  </si>
  <si>
    <t xml:space="preserve">CO</t>
  </si>
  <si>
    <t xml:space="preserve">SO₂</t>
  </si>
  <si>
    <t xml:space="preserve">NO/NO₂</t>
  </si>
  <si>
    <t xml:space="preserve">Un solo bloque NOx</t>
  </si>
  <si>
    <t xml:space="preserve">O₃</t>
  </si>
  <si>
    <t xml:space="preserve">PESTAÑA 4 — CICLO DE VIDA DE LOS EQUIPOS</t>
  </si>
  <si>
    <t xml:space="preserve">Activo</t>
  </si>
  <si>
    <t xml:space="preserve">Mantenimiento planificado (COP)</t>
  </si>
  <si>
    <t xml:space="preserve">Consumibles (COP)</t>
  </si>
  <si>
    <t xml:space="preserve">Calibración / servicio (COP)</t>
  </si>
  <si>
    <t xml:space="preserve">Provisión reparación correctiva (COP)</t>
  </si>
  <si>
    <t xml:space="preserve">Provisión anual total (COP)</t>
  </si>
  <si>
    <t xml:space="preserve">Factor de uso por ronda (0–1)</t>
  </si>
  <si>
    <t xml:space="preserve">Analizador / sistema de referencia de O₃</t>
  </si>
  <si>
    <t xml:space="preserve">Analizador de SO₂</t>
  </si>
  <si>
    <t xml:space="preserve">Analizador de CO</t>
  </si>
  <si>
    <t xml:space="preserve">Analizador de NOx</t>
  </si>
  <si>
    <t xml:space="preserve">Calibrador dinámico</t>
  </si>
  <si>
    <t xml:space="preserve">Generador de aire cero</t>
  </si>
  <si>
    <t xml:space="preserve">PESTAÑA 5 — ESTRATEGIA DE CILINDROS</t>
  </si>
  <si>
    <t xml:space="preserve">Criterio</t>
  </si>
  <si>
    <t xml:space="preserve">Mezcla multicomponente</t>
  </si>
  <si>
    <t xml:space="preserve">Cilindros individuales</t>
  </si>
  <si>
    <t xml:space="preserve">Híbrida (si aplica)</t>
  </si>
  <si>
    <t xml:space="preserve">Adquisición</t>
  </si>
  <si>
    <t xml:space="preserve">Menos pedidos / cilindros</t>
  </si>
  <si>
    <t xml:space="preserve">Varios pedidos / cilindros</t>
  </si>
  <si>
    <t xml:space="preserve">Concentraciones</t>
  </si>
  <si>
    <t xml:space="preserve">Una especificación para todas las diluciones</t>
  </si>
  <si>
    <t xml:space="preserve">Optimizado por gas</t>
  </si>
  <si>
    <t xml:space="preserve">Estabilidad / compatibilidad</t>
  </si>
  <si>
    <t xml:space="preserve">Debe ser certificablemente estable</t>
  </si>
  <si>
    <t xml:space="preserve">Gestionado por separado</t>
  </si>
  <si>
    <t xml:space="preserve">Trazabilidad</t>
  </si>
  <si>
    <t xml:space="preserve">Un certificado, valores por componente</t>
  </si>
  <si>
    <t xml:space="preserve">Certificados separados</t>
  </si>
  <si>
    <t xml:space="preserve">Costeo del paquete</t>
  </si>
  <si>
    <t xml:space="preserve">Más difícil de asignar a ventas de un solo gas</t>
  </si>
  <si>
    <t xml:space="preserve">Se asigna directamente al paquete de gases</t>
  </si>
  <si>
    <t xml:space="preserve">Falla / vencimiento</t>
  </si>
  <si>
    <t xml:space="preserve">Un problema puede afectar varios gases</t>
  </si>
  <si>
    <t xml:space="preserve">Aislado a un solo gas</t>
  </si>
  <si>
    <t xml:space="preserve">Equipos / almacenamiento</t>
  </si>
  <si>
    <t xml:space="preserve">Menos reguladores / conexiones</t>
  </si>
  <si>
    <t xml:space="preserve">Más reguladores, almacenamiento y manipulación</t>
  </si>
  <si>
    <t xml:space="preserve">Plazo de entrega</t>
  </si>
  <si>
    <t xml:space="preserve">Disponibilidad de mezclas personalizadas</t>
  </si>
  <si>
    <t xml:space="preserve">Varía según el gas</t>
  </si>
  <si>
    <t xml:space="preserve">Costo estimado por ronda (COP)</t>
  </si>
  <si>
    <t xml:space="preserve">Recomendación</t>
  </si>
  <si>
    <t xml:space="preserve">Estrategia aprobada</t>
  </si>
  <si>
    <t xml:space="preserve">Aprobador técnico</t>
  </si>
  <si>
    <t xml:space="preserve">Aprobador comercial/financiero</t>
  </si>
  <si>
    <t xml:space="preserve">PESTAÑA 6 — TARIFA FIJA DE PARTICIPACIÓN</t>
  </si>
  <si>
    <t xml:space="preserve">Bloques seleccionados</t>
  </si>
  <si>
    <t xml:space="preserve">Analizadores incluidos</t>
  </si>
  <si>
    <t xml:space="preserve">Tarifa provisional sin impuestos (COP)</t>
  </si>
  <si>
    <t xml:space="preserve">Analizador adicional con capacidad residual (COP)</t>
  </si>
  <si>
    <t xml:space="preserve">Cualquier 1 bloque</t>
  </si>
  <si>
    <t xml:space="preserve">Hasta 1</t>
  </si>
  <si>
    <t xml:space="preserve">Solo propuesta</t>
  </si>
  <si>
    <t xml:space="preserve">Cualquier 2 bloques</t>
  </si>
  <si>
    <t xml:space="preserve">Hasta 2, uno por bloque</t>
  </si>
  <si>
    <t xml:space="preserve">3 bloques cualesquiera</t>
  </si>
  <si>
    <t xml:space="preserve">Hasta 3, uno por bloque</t>
  </si>
  <si>
    <t xml:space="preserve">Los 4 bloques</t>
  </si>
  <si>
    <t xml:space="preserve">Hasta 4, uno por bloque</t>
  </si>
  <si>
    <t xml:space="preserve">CO, SO₂, O₃ y NO/NO₂</t>
  </si>
  <si>
    <t xml:space="preserve">PESTAÑA 6.A — VALIDACIÓN DEL VALOR DE REFERENCIA</t>
  </si>
  <si>
    <t xml:space="preserve">Medida</t>
  </si>
  <si>
    <t xml:space="preserve">Valor (COP)</t>
  </si>
  <si>
    <t xml:space="preserve">Fuente / cálculo</t>
  </si>
  <si>
    <t xml:space="preserve">Costo directo, 1 bloque</t>
  </si>
  <si>
    <t xml:space="preserve">Pestañas 02–04</t>
  </si>
  <si>
    <t xml:space="preserve">Costo directo, 2 bloques</t>
  </si>
  <si>
    <t xml:space="preserve">Costo directo, 3 bloques</t>
  </si>
  <si>
    <t xml:space="preserve">Costo directo, 4 bloques</t>
  </si>
  <si>
    <t xml:space="preserve">Costo total asignado, 4 bloques</t>
  </si>
  <si>
    <t xml:space="preserve">Tarifa plana provisional</t>
  </si>
  <si>
    <t xml:space="preserve">Contribución / déficit por escenario</t>
  </si>
  <si>
    <t xml:space="preserve">tarifa − costo (ajustar por escenario)</t>
  </si>
  <si>
    <t xml:space="preserve">Interpretación / decisión</t>
  </si>
  <si>
    <t xml:space="preserve">Aprobación de la dirección antes de la cotización</t>
  </si>
  <si>
    <t xml:space="preserve">PESTAÑA 7 — ESCENARIOS DE INSCRIPCIÓN</t>
  </si>
  <si>
    <t xml:space="preserve">Escenario</t>
  </si>
  <si>
    <t xml:space="preserve">Participantes</t>
  </si>
  <si>
    <t xml:space="preserve">Analizadores</t>
  </si>
  <si>
    <t xml:space="preserve">Ingresos (COP)</t>
  </si>
  <si>
    <t xml:space="preserve">Costos (COP)</t>
  </si>
  <si>
    <t xml:space="preserve">Contribución (COP)</t>
  </si>
  <si>
    <t xml:space="preserve">Momento de entrada del efectivo</t>
  </si>
  <si>
    <t xml:space="preserve">¿Viable?</t>
  </si>
  <si>
    <t xml:space="preserve">Baja (1 participante, 1 gas)</t>
  </si>
  <si>
    <t xml:space="preserve">Previsto</t>
  </si>
  <si>
    <t xml:space="preserve">Capacidad total, gas individual</t>
  </si>
  <si>
    <t xml:space="preserve">Capacidad total simultánea CO/SO₂</t>
  </si>
  <si>
    <t xml:space="preserve">Selección mixta</t>
  </si>
  <si>
    <t xml:space="preserve">PESTAÑA 8 — ESCENARIOS DE VIABILIDAD</t>
  </si>
  <si>
    <t xml:space="preserve">Descripción</t>
  </si>
  <si>
    <t xml:space="preserve">Resultado</t>
  </si>
  <si>
    <t xml:space="preserve">Punto de equilibrio, gas individual</t>
  </si>
  <si>
    <t xml:space="preserve">Cupos pagados mínimos para cubrir el costo</t>
  </si>
  <si>
    <t xml:space="preserve">Punto de equilibrio, CO/SO₂ simultáneos</t>
  </si>
  <si>
    <t xml:space="preserve">Punto de equilibrio, paquete completo</t>
  </si>
  <si>
    <t xml:space="preserve">Capacidad baja</t>
  </si>
  <si>
    <t xml:space="preserve">1–2 participantes</t>
  </si>
  <si>
    <t xml:space="preserve">Capacidad prevista</t>
  </si>
  <si>
    <t xml:space="preserve">Capacidad total</t>
  </si>
  <si>
    <t xml:space="preserve">Según los límites de CS-01</t>
  </si>
  <si>
    <t xml:space="preserve">Flujo de caja, peor caso</t>
  </si>
  <si>
    <t xml:space="preserve">Inscripción baja + pagos atrasados</t>
  </si>
  <si>
    <t xml:space="preserve">PESTAÑA 9 — APROBACIÓN</t>
  </si>
  <si>
    <t xml:space="preserve">Campo</t>
  </si>
  <si>
    <t xml:space="preserve">Cuota fija de participación aprobada</t>
  </si>
  <si>
    <t xml:space="preserve">Ajuste de bloque seleccionado aprobado</t>
  </si>
  <si>
    <t xml:space="preserve">COP 0 a menos que se revise CS-01</t>
  </si>
  <si>
    <t xml:space="preserve">Tarifa de analizador adicional aprobada</t>
  </si>
  <si>
    <t xml:space="preserve">COP 0 durante la etapa de propuesta, sujeto a capacidad residual</t>
  </si>
  <si>
    <t xml:space="preserve">Estrategia de cilindro aprobada (pestaña 05)</t>
  </si>
  <si>
    <t xml:space="preserve">Paquetes aprobados (pestaña 06)</t>
  </si>
  <si>
    <t xml:space="preserve">Política cambiaria aprobada (pestaña 01)</t>
  </si>
  <si>
    <t xml:space="preserve">Calendario de cobro aprobado (pestaña 01)</t>
  </si>
  <si>
    <t xml:space="preserve">Precios aprobados válidos desde</t>
  </si>
  <si>
    <t xml:space="preserve">Precios aprobados válidos hasta</t>
  </si>
  <si>
    <t xml:space="preserve">Aprobador (comercial/financiero) — nombre, fecha, firma</t>
  </si>
  <si>
    <t xml:space="preserve">Aprobador (técnico) — nombre, fecha, firma</t>
  </si>
  <si>
    <t xml:space="preserve">Aprobador (dirección) — nombre, fecha, firma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</si>
</sst>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2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3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4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5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6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7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8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9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0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5</v>
      </c>
      <c r="B6" s="13"/>
      <c r="C6" s="13"/>
      <c r="D6" s="14"/>
      <c r="E6" s="14"/>
      <c r="F6" s="14"/>
      <c r="G6" s="14"/>
      <c r="H6" s="14"/>
    </row>
    <row r="7" customFormat="false" ht="33" hidden="false" customHeight="true" outlineLevel="0" collapsed="false">
      <c r="A7" s="15" t="s">
        <v>6</v>
      </c>
      <c r="B7" s="15" t="s">
        <v>7</v>
      </c>
      <c r="C7" s="15" t="s">
        <v>8</v>
      </c>
      <c r="D7" s="14"/>
      <c r="E7" s="14"/>
      <c r="F7" s="14"/>
      <c r="G7" s="14"/>
      <c r="H7" s="14"/>
    </row>
    <row r="8" customFormat="false" ht="33" hidden="false" customHeight="true" outlineLevel="0" collapsed="false">
      <c r="A8" s="14" t="s">
        <v>9</v>
      </c>
      <c r="B8" s="14" t="s">
        <v>10</v>
      </c>
      <c r="C8" s="14" t="s">
        <v>11</v>
      </c>
      <c r="D8" s="14"/>
      <c r="E8" s="14"/>
      <c r="F8" s="14"/>
      <c r="G8" s="14"/>
      <c r="H8" s="14"/>
    </row>
    <row r="9" customFormat="false" ht="33" hidden="false" customHeight="true" outlineLevel="0" collapsed="false">
      <c r="A9" s="14" t="s">
        <v>12</v>
      </c>
      <c r="B9" s="14" t="s">
        <v>13</v>
      </c>
      <c r="C9" s="14" t="s">
        <v>11</v>
      </c>
      <c r="D9" s="14"/>
      <c r="E9" s="14"/>
      <c r="F9" s="14"/>
      <c r="G9" s="14"/>
      <c r="H9" s="14"/>
    </row>
    <row r="10" customFormat="false" ht="33" hidden="false" customHeight="true" outlineLevel="0" collapsed="false">
      <c r="A10" s="14" t="s">
        <v>14</v>
      </c>
      <c r="B10" s="14" t="s">
        <v>15</v>
      </c>
      <c r="C10" s="14" t="s">
        <v>11</v>
      </c>
      <c r="D10" s="14"/>
      <c r="E10" s="14"/>
      <c r="F10" s="14"/>
      <c r="G10" s="14"/>
      <c r="H10" s="14"/>
    </row>
    <row r="11" customFormat="false" ht="33" hidden="false" customHeight="true" outlineLevel="0" collapsed="false">
      <c r="A11" s="14" t="s">
        <v>16</v>
      </c>
      <c r="B11" s="14" t="s">
        <v>17</v>
      </c>
      <c r="C11" s="14" t="s">
        <v>11</v>
      </c>
      <c r="D11" s="14"/>
      <c r="E11" s="14"/>
      <c r="F11" s="14"/>
      <c r="G11" s="14"/>
      <c r="H11" s="14"/>
    </row>
    <row r="12" customFormat="false" ht="33" hidden="false" customHeight="true" outlineLevel="0" collapsed="false">
      <c r="A12" s="14" t="s">
        <v>18</v>
      </c>
      <c r="B12" s="14" t="s">
        <v>19</v>
      </c>
      <c r="C12" s="14" t="s">
        <v>11</v>
      </c>
      <c r="D12" s="14"/>
      <c r="E12" s="14"/>
      <c r="F12" s="14"/>
      <c r="G12" s="14"/>
      <c r="H12" s="14"/>
    </row>
    <row r="13" customFormat="false" ht="33" hidden="false" customHeight="true" outlineLevel="0" collapsed="false">
      <c r="A13" s="14" t="s">
        <v>20</v>
      </c>
      <c r="B13" s="14" t="s">
        <v>21</v>
      </c>
      <c r="C13" s="14" t="s">
        <v>22</v>
      </c>
      <c r="D13" s="14"/>
      <c r="E13" s="14"/>
      <c r="F13" s="14"/>
      <c r="G13" s="14"/>
      <c r="H13" s="14"/>
    </row>
    <row r="14" customFormat="false" ht="33" hidden="false" customHeight="true" outlineLevel="0" collapsed="false">
      <c r="A14" s="14" t="s">
        <v>23</v>
      </c>
      <c r="B14" s="14" t="s">
        <v>21</v>
      </c>
      <c r="C14" s="14" t="s">
        <v>24</v>
      </c>
      <c r="D14" s="14"/>
      <c r="E14" s="14"/>
      <c r="F14" s="14"/>
      <c r="G14" s="14"/>
      <c r="H14" s="14"/>
    </row>
    <row r="15" customFormat="false" ht="33" hidden="false" customHeight="true" outlineLevel="0" collapsed="false">
      <c r="A15" s="14" t="s">
        <v>25</v>
      </c>
      <c r="B15" s="14" t="s">
        <v>21</v>
      </c>
      <c r="C15" s="14" t="s">
        <v>24</v>
      </c>
      <c r="D15" s="14"/>
      <c r="E15" s="14"/>
      <c r="F15" s="14"/>
      <c r="G15" s="14"/>
      <c r="H15" s="14"/>
    </row>
    <row r="16" customFormat="false" ht="33" hidden="false" customHeight="true" outlineLevel="0" collapsed="false">
      <c r="A16" s="14" t="s">
        <v>26</v>
      </c>
      <c r="B16" s="14" t="s">
        <v>27</v>
      </c>
      <c r="C16" s="14" t="s">
        <v>11</v>
      </c>
      <c r="D16" s="14"/>
      <c r="E16" s="14"/>
      <c r="F16" s="14"/>
      <c r="G16" s="14"/>
      <c r="H16" s="14"/>
    </row>
    <row r="17" customFormat="false" ht="33" hidden="false" customHeight="true" outlineLevel="0" collapsed="false">
      <c r="A17" s="14" t="s">
        <v>28</v>
      </c>
      <c r="B17" s="14" t="s">
        <v>21</v>
      </c>
      <c r="C17" s="14" t="s">
        <v>29</v>
      </c>
      <c r="D17" s="14"/>
      <c r="E17" s="14"/>
      <c r="F17" s="14"/>
      <c r="G17" s="14"/>
      <c r="H17" s="14"/>
    </row>
    <row r="18" customFormat="false" ht="33" hidden="false" customHeight="true" outlineLevel="0" collapsed="false">
      <c r="A18" s="14" t="s">
        <v>30</v>
      </c>
      <c r="B18" s="14" t="s">
        <v>21</v>
      </c>
      <c r="C18" s="14" t="s">
        <v>31</v>
      </c>
      <c r="D18" s="14"/>
      <c r="E18" s="14"/>
      <c r="F18" s="14"/>
      <c r="G18" s="14"/>
      <c r="H18" s="14"/>
    </row>
    <row r="19" customFormat="false" ht="33" hidden="false" customHeight="true" outlineLevel="0" collapsed="false">
      <c r="A19" s="14" t="s">
        <v>32</v>
      </c>
      <c r="B19" s="14" t="s">
        <v>21</v>
      </c>
      <c r="C19" s="14" t="s">
        <v>31</v>
      </c>
      <c r="D19" s="14"/>
      <c r="E19" s="14"/>
      <c r="F19" s="14"/>
      <c r="G19" s="14"/>
      <c r="H19" s="14"/>
    </row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33</v>
      </c>
      <c r="B6" s="13"/>
      <c r="C6" s="13"/>
      <c r="D6" s="13"/>
      <c r="E6" s="14"/>
      <c r="F6" s="14"/>
      <c r="G6" s="14"/>
      <c r="H6" s="14"/>
    </row>
    <row r="7" customFormat="false" ht="33" hidden="false" customHeight="true" outlineLevel="0" collapsed="false">
      <c r="A7" s="15" t="s">
        <v>34</v>
      </c>
      <c r="B7" s="15" t="s">
        <v>35</v>
      </c>
      <c r="C7" s="15" t="s">
        <v>36</v>
      </c>
      <c r="D7" s="15" t="s">
        <v>37</v>
      </c>
      <c r="E7" s="14"/>
      <c r="F7" s="14"/>
      <c r="G7" s="14"/>
      <c r="H7" s="14"/>
    </row>
    <row r="8" customFormat="false" ht="33" hidden="false" customHeight="true" outlineLevel="0" collapsed="false">
      <c r="A8" s="14" t="s">
        <v>38</v>
      </c>
      <c r="B8" s="14" t="s">
        <v>21</v>
      </c>
      <c r="C8" s="14" t="s">
        <v>21</v>
      </c>
      <c r="D8" s="14"/>
      <c r="E8" s="14"/>
      <c r="F8" s="14"/>
      <c r="G8" s="14"/>
      <c r="H8" s="14"/>
    </row>
    <row r="9" customFormat="false" ht="33" hidden="false" customHeight="true" outlineLevel="0" collapsed="false">
      <c r="A9" s="14" t="s">
        <v>39</v>
      </c>
      <c r="B9" s="14" t="s">
        <v>21</v>
      </c>
      <c r="C9" s="14" t="s">
        <v>21</v>
      </c>
      <c r="D9" s="14"/>
      <c r="E9" s="14"/>
      <c r="F9" s="14"/>
      <c r="G9" s="14"/>
      <c r="H9" s="14"/>
    </row>
    <row r="10" customFormat="false" ht="33" hidden="false" customHeight="true" outlineLevel="0" collapsed="false">
      <c r="A10" s="14" t="s">
        <v>40</v>
      </c>
      <c r="B10" s="14" t="s">
        <v>21</v>
      </c>
      <c r="C10" s="14" t="s">
        <v>21</v>
      </c>
      <c r="D10" s="14"/>
      <c r="E10" s="14"/>
      <c r="F10" s="14"/>
      <c r="G10" s="14"/>
      <c r="H10" s="14"/>
    </row>
    <row r="11" customFormat="false" ht="33" hidden="false" customHeight="true" outlineLevel="0" collapsed="false">
      <c r="A11" s="14" t="s">
        <v>41</v>
      </c>
      <c r="B11" s="14" t="s">
        <v>21</v>
      </c>
      <c r="C11" s="14" t="s">
        <v>21</v>
      </c>
      <c r="D11" s="14"/>
      <c r="E11" s="14"/>
      <c r="F11" s="14"/>
      <c r="G11" s="14"/>
      <c r="H11" s="14"/>
    </row>
    <row r="12" customFormat="false" ht="33" hidden="false" customHeight="true" outlineLevel="0" collapsed="false">
      <c r="A12" s="14" t="s">
        <v>42</v>
      </c>
      <c r="B12" s="14" t="s">
        <v>21</v>
      </c>
      <c r="C12" s="14" t="s">
        <v>21</v>
      </c>
      <c r="D12" s="14" t="s">
        <v>43</v>
      </c>
      <c r="E12" s="14"/>
      <c r="F12" s="14"/>
      <c r="G12" s="14"/>
      <c r="H12" s="14"/>
    </row>
    <row r="13" customFormat="false" ht="33" hidden="false" customHeight="true" outlineLevel="0" collapsed="false"/>
    <row r="14" customFormat="false" ht="33" hidden="false" customHeight="true" outlineLevel="0" collapsed="false"/>
    <row r="15" customFormat="false" ht="33" hidden="false" customHeight="true" outlineLevel="0" collapsed="false"/>
    <row r="16" customFormat="false" ht="33" hidden="false" customHeight="true" outlineLevel="0" collapsed="false"/>
    <row r="17" customFormat="false" ht="33" hidden="false" customHeight="true" outlineLevel="0" collapsed="false"/>
    <row r="18" customFormat="false" ht="33" hidden="false" customHeight="true" outlineLevel="0" collapsed="false"/>
    <row r="19" customFormat="false" ht="33" hidden="false" customHeight="true" outlineLevel="0" collapsed="false"/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44</v>
      </c>
      <c r="B6" s="13"/>
      <c r="C6" s="13"/>
      <c r="D6" s="13"/>
      <c r="E6" s="13"/>
      <c r="F6" s="14"/>
      <c r="G6" s="14"/>
      <c r="H6" s="14"/>
    </row>
    <row r="7" customFormat="false" ht="33" hidden="false" customHeight="true" outlineLevel="0" collapsed="false">
      <c r="A7" s="15" t="s">
        <v>45</v>
      </c>
      <c r="B7" s="15" t="s">
        <v>46</v>
      </c>
      <c r="C7" s="15" t="s">
        <v>47</v>
      </c>
      <c r="D7" s="15" t="s">
        <v>48</v>
      </c>
      <c r="E7" s="15" t="s">
        <v>37</v>
      </c>
      <c r="F7" s="14"/>
      <c r="G7" s="14"/>
      <c r="H7" s="14"/>
    </row>
    <row r="8" customFormat="false" ht="33" hidden="false" customHeight="true" outlineLevel="0" collapsed="false">
      <c r="A8" s="14" t="s">
        <v>49</v>
      </c>
      <c r="B8" s="14" t="s">
        <v>21</v>
      </c>
      <c r="C8" s="14" t="s">
        <v>21</v>
      </c>
      <c r="D8" s="14" t="e">
        <f aca="false">B8+C8</f>
        <v>#VALUE!</v>
      </c>
      <c r="E8" s="14"/>
      <c r="F8" s="14"/>
      <c r="G8" s="14"/>
      <c r="H8" s="14"/>
    </row>
    <row r="9" customFormat="false" ht="33" hidden="false" customHeight="true" outlineLevel="0" collapsed="false">
      <c r="A9" s="14" t="s">
        <v>50</v>
      </c>
      <c r="B9" s="14" t="s">
        <v>21</v>
      </c>
      <c r="C9" s="14" t="s">
        <v>21</v>
      </c>
      <c r="D9" s="14" t="e">
        <f aca="false">B9+C9</f>
        <v>#VALUE!</v>
      </c>
      <c r="E9" s="14"/>
      <c r="F9" s="14"/>
      <c r="G9" s="14"/>
      <c r="H9" s="14"/>
    </row>
    <row r="10" customFormat="false" ht="33" hidden="false" customHeight="true" outlineLevel="0" collapsed="false">
      <c r="A10" s="14" t="s">
        <v>51</v>
      </c>
      <c r="B10" s="14" t="s">
        <v>21</v>
      </c>
      <c r="C10" s="14" t="s">
        <v>21</v>
      </c>
      <c r="D10" s="14" t="e">
        <f aca="false">B10+C10</f>
        <v>#VALUE!</v>
      </c>
      <c r="E10" s="14" t="s">
        <v>52</v>
      </c>
      <c r="F10" s="14"/>
      <c r="G10" s="14"/>
      <c r="H10" s="14"/>
    </row>
    <row r="11" customFormat="false" ht="33" hidden="false" customHeight="true" outlineLevel="0" collapsed="false">
      <c r="A11" s="14" t="s">
        <v>53</v>
      </c>
      <c r="B11" s="14" t="s">
        <v>21</v>
      </c>
      <c r="C11" s="14" t="s">
        <v>21</v>
      </c>
      <c r="D11" s="14" t="e">
        <f aca="false">B11+C11</f>
        <v>#VALUE!</v>
      </c>
      <c r="E11" s="14"/>
      <c r="F11" s="14"/>
      <c r="G11" s="14"/>
      <c r="H11" s="14"/>
    </row>
    <row r="12" customFormat="false" ht="33" hidden="false" customHeight="true" outlineLevel="0" collapsed="false"/>
    <row r="13" customFormat="false" ht="33" hidden="false" customHeight="true" outlineLevel="0" collapsed="false"/>
    <row r="14" customFormat="false" ht="33" hidden="false" customHeight="true" outlineLevel="0" collapsed="false"/>
    <row r="15" customFormat="false" ht="33" hidden="false" customHeight="true" outlineLevel="0" collapsed="false"/>
    <row r="16" customFormat="false" ht="33" hidden="false" customHeight="true" outlineLevel="0" collapsed="false"/>
    <row r="17" customFormat="false" ht="33" hidden="false" customHeight="true" outlineLevel="0" collapsed="false"/>
    <row r="18" customFormat="false" ht="33" hidden="false" customHeight="true" outlineLevel="0" collapsed="false"/>
    <row r="19" customFormat="false" ht="33" hidden="false" customHeight="true" outlineLevel="0" collapsed="false"/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54</v>
      </c>
      <c r="B6" s="13"/>
      <c r="C6" s="13"/>
      <c r="D6" s="13"/>
      <c r="E6" s="13"/>
      <c r="F6" s="13"/>
      <c r="G6" s="13"/>
      <c r="H6" s="13"/>
    </row>
    <row r="7" customFormat="false" ht="33" hidden="false" customHeight="true" outlineLevel="0" collapsed="false">
      <c r="A7" s="15" t="s">
        <v>55</v>
      </c>
      <c r="B7" s="15" t="s">
        <v>56</v>
      </c>
      <c r="C7" s="15" t="s">
        <v>57</v>
      </c>
      <c r="D7" s="15" t="s">
        <v>58</v>
      </c>
      <c r="E7" s="15" t="s">
        <v>59</v>
      </c>
      <c r="F7" s="15" t="s">
        <v>60</v>
      </c>
      <c r="G7" s="15" t="s">
        <v>61</v>
      </c>
      <c r="H7" s="15" t="s">
        <v>36</v>
      </c>
    </row>
    <row r="8" customFormat="false" ht="33" hidden="false" customHeight="true" outlineLevel="0" collapsed="false">
      <c r="A8" s="14" t="s">
        <v>62</v>
      </c>
      <c r="B8" s="14" t="s">
        <v>21</v>
      </c>
      <c r="C8" s="14" t="s">
        <v>21</v>
      </c>
      <c r="D8" s="14" t="s">
        <v>21</v>
      </c>
      <c r="E8" s="14" t="s">
        <v>21</v>
      </c>
      <c r="F8" s="14" t="n">
        <f aca="false">SUM(B8:E8)</f>
        <v>0</v>
      </c>
      <c r="G8" s="14" t="s">
        <v>21</v>
      </c>
      <c r="H8" s="14" t="e">
        <f aca="false">F8*G8</f>
        <v>#VALUE!</v>
      </c>
    </row>
    <row r="9" customFormat="false" ht="33" hidden="false" customHeight="true" outlineLevel="0" collapsed="false">
      <c r="A9" s="14" t="s">
        <v>63</v>
      </c>
      <c r="B9" s="14" t="s">
        <v>21</v>
      </c>
      <c r="C9" s="14" t="s">
        <v>21</v>
      </c>
      <c r="D9" s="14" t="s">
        <v>21</v>
      </c>
      <c r="E9" s="14" t="s">
        <v>21</v>
      </c>
      <c r="F9" s="14" t="n">
        <f aca="false">SUM(B9:E9)</f>
        <v>0</v>
      </c>
      <c r="G9" s="14" t="s">
        <v>21</v>
      </c>
      <c r="H9" s="14" t="e">
        <f aca="false">F9*G9</f>
        <v>#VALUE!</v>
      </c>
    </row>
    <row r="10" customFormat="false" ht="33" hidden="false" customHeight="true" outlineLevel="0" collapsed="false">
      <c r="A10" s="14" t="s">
        <v>64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n">
        <f aca="false">SUM(B10:E10)</f>
        <v>0</v>
      </c>
      <c r="G10" s="14" t="s">
        <v>21</v>
      </c>
      <c r="H10" s="14" t="e">
        <f aca="false">F10*G10</f>
        <v>#VALUE!</v>
      </c>
    </row>
    <row r="11" customFormat="false" ht="33" hidden="false" customHeight="true" outlineLevel="0" collapsed="false">
      <c r="A11" s="14" t="s">
        <v>65</v>
      </c>
      <c r="B11" s="14" t="s">
        <v>21</v>
      </c>
      <c r="C11" s="14" t="s">
        <v>21</v>
      </c>
      <c r="D11" s="14" t="s">
        <v>21</v>
      </c>
      <c r="E11" s="14" t="s">
        <v>21</v>
      </c>
      <c r="F11" s="14" t="n">
        <f aca="false">SUM(B11:E11)</f>
        <v>0</v>
      </c>
      <c r="G11" s="14" t="s">
        <v>21</v>
      </c>
      <c r="H11" s="14" t="e">
        <f aca="false">F11*G11</f>
        <v>#VALUE!</v>
      </c>
    </row>
    <row r="12" customFormat="false" ht="33" hidden="false" customHeight="true" outlineLevel="0" collapsed="false">
      <c r="A12" s="14" t="s">
        <v>66</v>
      </c>
      <c r="B12" s="14" t="s">
        <v>21</v>
      </c>
      <c r="C12" s="14" t="s">
        <v>21</v>
      </c>
      <c r="D12" s="14" t="s">
        <v>21</v>
      </c>
      <c r="E12" s="14" t="s">
        <v>21</v>
      </c>
      <c r="F12" s="14" t="n">
        <f aca="false">SUM(B12:E12)</f>
        <v>0</v>
      </c>
      <c r="G12" s="14" t="s">
        <v>21</v>
      </c>
      <c r="H12" s="14" t="e">
        <f aca="false">F12*G12</f>
        <v>#VALUE!</v>
      </c>
    </row>
    <row r="13" customFormat="false" ht="33" hidden="false" customHeight="true" outlineLevel="0" collapsed="false">
      <c r="A13" s="14" t="s">
        <v>67</v>
      </c>
      <c r="B13" s="14" t="s">
        <v>21</v>
      </c>
      <c r="C13" s="14" t="s">
        <v>21</v>
      </c>
      <c r="D13" s="14" t="s">
        <v>21</v>
      </c>
      <c r="E13" s="14" t="s">
        <v>21</v>
      </c>
      <c r="F13" s="14" t="n">
        <f aca="false">SUM(B13:E13)</f>
        <v>0</v>
      </c>
      <c r="G13" s="14" t="s">
        <v>21</v>
      </c>
      <c r="H13" s="14" t="e">
        <f aca="false">F13*G13</f>
        <v>#VALUE!</v>
      </c>
    </row>
    <row r="14" customFormat="false" ht="33" hidden="false" customHeight="true" outlineLevel="0" collapsed="false"/>
    <row r="15" customFormat="false" ht="33" hidden="false" customHeight="true" outlineLevel="0" collapsed="false"/>
    <row r="16" customFormat="false" ht="33" hidden="false" customHeight="true" outlineLevel="0" collapsed="false"/>
    <row r="17" customFormat="false" ht="33" hidden="false" customHeight="true" outlineLevel="0" collapsed="false"/>
    <row r="18" customFormat="false" ht="33" hidden="false" customHeight="true" outlineLevel="0" collapsed="false"/>
    <row r="19" customFormat="false" ht="33" hidden="false" customHeight="true" outlineLevel="0" collapsed="false"/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68</v>
      </c>
      <c r="B6" s="13"/>
      <c r="C6" s="13"/>
      <c r="D6" s="13"/>
      <c r="E6" s="14"/>
      <c r="F6" s="14"/>
      <c r="G6" s="14"/>
      <c r="H6" s="14"/>
    </row>
    <row r="7" customFormat="false" ht="33" hidden="false" customHeight="true" outlineLevel="0" collapsed="false">
      <c r="A7" s="15" t="s">
        <v>69</v>
      </c>
      <c r="B7" s="15" t="s">
        <v>70</v>
      </c>
      <c r="C7" s="15" t="s">
        <v>71</v>
      </c>
      <c r="D7" s="15" t="s">
        <v>72</v>
      </c>
      <c r="E7" s="14"/>
      <c r="F7" s="14"/>
      <c r="G7" s="14"/>
      <c r="H7" s="14"/>
    </row>
    <row r="8" customFormat="false" ht="33" hidden="false" customHeight="true" outlineLevel="0" collapsed="false">
      <c r="A8" s="14" t="s">
        <v>73</v>
      </c>
      <c r="B8" s="14" t="s">
        <v>74</v>
      </c>
      <c r="C8" s="14" t="s">
        <v>75</v>
      </c>
      <c r="D8" s="14" t="s">
        <v>21</v>
      </c>
      <c r="E8" s="14"/>
      <c r="F8" s="14"/>
      <c r="G8" s="14"/>
      <c r="H8" s="14"/>
    </row>
    <row r="9" customFormat="false" ht="33" hidden="false" customHeight="true" outlineLevel="0" collapsed="false">
      <c r="A9" s="14" t="s">
        <v>76</v>
      </c>
      <c r="B9" s="14" t="s">
        <v>77</v>
      </c>
      <c r="C9" s="14" t="s">
        <v>78</v>
      </c>
      <c r="D9" s="14" t="s">
        <v>21</v>
      </c>
      <c r="E9" s="14"/>
      <c r="F9" s="14"/>
      <c r="G9" s="14"/>
      <c r="H9" s="14"/>
    </row>
    <row r="10" customFormat="false" ht="33" hidden="false" customHeight="true" outlineLevel="0" collapsed="false">
      <c r="A10" s="14" t="s">
        <v>79</v>
      </c>
      <c r="B10" s="14" t="s">
        <v>80</v>
      </c>
      <c r="C10" s="14" t="s">
        <v>81</v>
      </c>
      <c r="D10" s="14" t="s">
        <v>21</v>
      </c>
      <c r="E10" s="14"/>
      <c r="F10" s="14"/>
      <c r="G10" s="14"/>
      <c r="H10" s="14"/>
    </row>
    <row r="11" customFormat="false" ht="33" hidden="false" customHeight="true" outlineLevel="0" collapsed="false">
      <c r="A11" s="14" t="s">
        <v>82</v>
      </c>
      <c r="B11" s="14" t="s">
        <v>83</v>
      </c>
      <c r="C11" s="14" t="s">
        <v>84</v>
      </c>
      <c r="D11" s="14" t="s">
        <v>21</v>
      </c>
      <c r="E11" s="14"/>
      <c r="F11" s="14"/>
      <c r="G11" s="14"/>
      <c r="H11" s="14"/>
    </row>
    <row r="12" customFormat="false" ht="33" hidden="false" customHeight="true" outlineLevel="0" collapsed="false">
      <c r="A12" s="14" t="s">
        <v>85</v>
      </c>
      <c r="B12" s="14" t="s">
        <v>86</v>
      </c>
      <c r="C12" s="14" t="s">
        <v>87</v>
      </c>
      <c r="D12" s="14" t="s">
        <v>21</v>
      </c>
      <c r="E12" s="14"/>
      <c r="F12" s="14"/>
      <c r="G12" s="14"/>
      <c r="H12" s="14"/>
    </row>
    <row r="13" customFormat="false" ht="33" hidden="false" customHeight="true" outlineLevel="0" collapsed="false">
      <c r="A13" s="14" t="s">
        <v>88</v>
      </c>
      <c r="B13" s="14" t="s">
        <v>89</v>
      </c>
      <c r="C13" s="14" t="s">
        <v>90</v>
      </c>
      <c r="D13" s="14" t="s">
        <v>21</v>
      </c>
      <c r="E13" s="14"/>
      <c r="F13" s="14"/>
      <c r="G13" s="14"/>
      <c r="H13" s="14"/>
    </row>
    <row r="14" customFormat="false" ht="33" hidden="false" customHeight="true" outlineLevel="0" collapsed="false">
      <c r="A14" s="14" t="s">
        <v>91</v>
      </c>
      <c r="B14" s="14" t="s">
        <v>92</v>
      </c>
      <c r="C14" s="14" t="s">
        <v>93</v>
      </c>
      <c r="D14" s="14" t="s">
        <v>21</v>
      </c>
      <c r="E14" s="14"/>
      <c r="F14" s="14"/>
      <c r="G14" s="14"/>
      <c r="H14" s="14"/>
    </row>
    <row r="15" customFormat="false" ht="33" hidden="false" customHeight="true" outlineLevel="0" collapsed="false">
      <c r="A15" s="14" t="s">
        <v>94</v>
      </c>
      <c r="B15" s="14" t="s">
        <v>95</v>
      </c>
      <c r="C15" s="14" t="s">
        <v>96</v>
      </c>
      <c r="D15" s="14" t="s">
        <v>21</v>
      </c>
      <c r="E15" s="14"/>
      <c r="F15" s="14"/>
      <c r="G15" s="14"/>
      <c r="H15" s="14"/>
    </row>
    <row r="16" customFormat="false" ht="33" hidden="false" customHeight="true" outlineLevel="0" collapsed="false">
      <c r="A16" s="14" t="s">
        <v>97</v>
      </c>
      <c r="B16" s="14" t="s">
        <v>21</v>
      </c>
      <c r="C16" s="14" t="s">
        <v>21</v>
      </c>
      <c r="D16" s="14" t="s">
        <v>21</v>
      </c>
      <c r="E16" s="14"/>
      <c r="F16" s="14"/>
      <c r="G16" s="14"/>
      <c r="H16" s="14"/>
    </row>
    <row r="17" customFormat="false" ht="33" hidden="false" customHeight="true" outlineLevel="0" collapsed="false">
      <c r="A17" s="14" t="s">
        <v>98</v>
      </c>
      <c r="B17" s="14" t="s">
        <v>21</v>
      </c>
      <c r="C17" s="14" t="s">
        <v>21</v>
      </c>
      <c r="D17" s="14" t="s">
        <v>21</v>
      </c>
      <c r="E17" s="14"/>
      <c r="F17" s="14"/>
      <c r="G17" s="14"/>
      <c r="H17" s="14"/>
    </row>
    <row r="18" customFormat="false" ht="33" hidden="false" customHeight="true" outlineLevel="0" collapsed="false">
      <c r="A18" s="14" t="s">
        <v>99</v>
      </c>
      <c r="B18" s="14" t="s">
        <v>21</v>
      </c>
      <c r="C18" s="14"/>
      <c r="D18" s="14"/>
      <c r="E18" s="14"/>
      <c r="F18" s="14"/>
      <c r="G18" s="14"/>
      <c r="H18" s="14"/>
    </row>
    <row r="19" customFormat="false" ht="33" hidden="false" customHeight="true" outlineLevel="0" collapsed="false">
      <c r="A19" s="14" t="s">
        <v>100</v>
      </c>
      <c r="B19" s="14" t="s">
        <v>21</v>
      </c>
      <c r="C19" s="14"/>
      <c r="D19" s="14"/>
      <c r="E19" s="14"/>
      <c r="F19" s="14"/>
      <c r="G19" s="14"/>
      <c r="H19" s="14"/>
    </row>
    <row r="20" customFormat="false" ht="33" hidden="false" customHeight="true" outlineLevel="0" collapsed="false">
      <c r="A20" s="14" t="s">
        <v>101</v>
      </c>
      <c r="B20" s="14" t="s">
        <v>21</v>
      </c>
      <c r="C20" s="14"/>
      <c r="D20" s="14"/>
      <c r="E20" s="14"/>
      <c r="F20" s="14"/>
      <c r="G20" s="14"/>
      <c r="H20" s="14"/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102</v>
      </c>
      <c r="B6" s="13"/>
      <c r="C6" s="13"/>
      <c r="D6" s="13"/>
      <c r="E6" s="13"/>
      <c r="F6" s="14"/>
      <c r="G6" s="14"/>
      <c r="H6" s="14"/>
    </row>
    <row r="7" customFormat="false" ht="33" hidden="false" customHeight="true" outlineLevel="0" collapsed="false">
      <c r="A7" s="15" t="s">
        <v>103</v>
      </c>
      <c r="B7" s="15" t="s">
        <v>104</v>
      </c>
      <c r="C7" s="15" t="s">
        <v>105</v>
      </c>
      <c r="D7" s="15" t="s">
        <v>106</v>
      </c>
      <c r="E7" s="15" t="s">
        <v>37</v>
      </c>
      <c r="F7" s="14"/>
      <c r="G7" s="14"/>
      <c r="H7" s="14"/>
    </row>
    <row r="8" customFormat="false" ht="33" hidden="false" customHeight="true" outlineLevel="0" collapsed="false">
      <c r="A8" s="14" t="s">
        <v>107</v>
      </c>
      <c r="B8" s="14" t="s">
        <v>108</v>
      </c>
      <c r="C8" s="14" t="n">
        <v>5928000</v>
      </c>
      <c r="D8" s="14" t="n">
        <v>0</v>
      </c>
      <c r="E8" s="14" t="s">
        <v>109</v>
      </c>
      <c r="F8" s="14"/>
      <c r="G8" s="14"/>
      <c r="H8" s="14"/>
    </row>
    <row r="9" customFormat="false" ht="33" hidden="false" customHeight="true" outlineLevel="0" collapsed="false">
      <c r="A9" s="14" t="s">
        <v>110</v>
      </c>
      <c r="B9" s="14" t="s">
        <v>111</v>
      </c>
      <c r="C9" s="14" t="n">
        <v>5928000</v>
      </c>
      <c r="D9" s="14" t="n">
        <v>0</v>
      </c>
      <c r="E9" s="14" t="s">
        <v>109</v>
      </c>
      <c r="F9" s="14"/>
      <c r="G9" s="14"/>
      <c r="H9" s="14"/>
    </row>
    <row r="10" customFormat="false" ht="33" hidden="false" customHeight="true" outlineLevel="0" collapsed="false">
      <c r="A10" s="14" t="s">
        <v>112</v>
      </c>
      <c r="B10" s="14" t="s">
        <v>113</v>
      </c>
      <c r="C10" s="14" t="n">
        <v>5928000</v>
      </c>
      <c r="D10" s="14" t="n">
        <v>0</v>
      </c>
      <c r="E10" s="14" t="s">
        <v>109</v>
      </c>
      <c r="F10" s="14"/>
      <c r="G10" s="14"/>
      <c r="H10" s="14"/>
    </row>
    <row r="11" customFormat="false" ht="33" hidden="false" customHeight="true" outlineLevel="0" collapsed="false">
      <c r="A11" s="14" t="s">
        <v>114</v>
      </c>
      <c r="B11" s="14" t="s">
        <v>115</v>
      </c>
      <c r="C11" s="14" t="n">
        <v>5928000</v>
      </c>
      <c r="D11" s="14" t="n">
        <v>0</v>
      </c>
      <c r="E11" s="14" t="s">
        <v>116</v>
      </c>
      <c r="F11" s="14"/>
      <c r="G11" s="14"/>
      <c r="H11" s="14"/>
    </row>
    <row r="12" customFormat="false" ht="33" hidden="false" customHeight="true" outlineLevel="0" collapsed="false"/>
    <row r="13" customFormat="false" ht="33" hidden="false" customHeight="true" outlineLevel="0" collapsed="false"/>
    <row r="14" customFormat="false" ht="33" hidden="false" customHeight="true" outlineLevel="0" collapsed="false"/>
    <row r="15" customFormat="false" ht="33" hidden="false" customHeight="true" outlineLevel="0" collapsed="false"/>
    <row r="16" customFormat="false" ht="33" hidden="false" customHeight="true" outlineLevel="0" collapsed="false"/>
    <row r="17" customFormat="false" ht="33" hidden="false" customHeight="true" outlineLevel="0" collapsed="false"/>
    <row r="18" customFormat="false" ht="33" hidden="false" customHeight="true" outlineLevel="0" collapsed="false"/>
    <row r="19" customFormat="false" ht="33" hidden="false" customHeight="true" outlineLevel="0" collapsed="false"/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117</v>
      </c>
      <c r="B6" s="13"/>
      <c r="C6" s="13"/>
      <c r="D6" s="14"/>
      <c r="E6" s="14"/>
      <c r="F6" s="14"/>
      <c r="G6" s="14"/>
      <c r="H6" s="14"/>
    </row>
    <row r="7" customFormat="false" ht="33" hidden="false" customHeight="true" outlineLevel="0" collapsed="false">
      <c r="A7" s="15" t="s">
        <v>118</v>
      </c>
      <c r="B7" s="15" t="s">
        <v>119</v>
      </c>
      <c r="C7" s="15" t="s">
        <v>120</v>
      </c>
      <c r="D7" s="14"/>
      <c r="E7" s="14"/>
      <c r="F7" s="14"/>
      <c r="G7" s="14"/>
      <c r="H7" s="14"/>
    </row>
    <row r="8" customFormat="false" ht="33" hidden="false" customHeight="true" outlineLevel="0" collapsed="false">
      <c r="A8" s="14" t="s">
        <v>121</v>
      </c>
      <c r="B8" s="14" t="s">
        <v>21</v>
      </c>
      <c r="C8" s="14" t="s">
        <v>122</v>
      </c>
      <c r="D8" s="14"/>
      <c r="E8" s="14"/>
      <c r="F8" s="14"/>
      <c r="G8" s="14"/>
      <c r="H8" s="14"/>
    </row>
    <row r="9" customFormat="false" ht="33" hidden="false" customHeight="true" outlineLevel="0" collapsed="false">
      <c r="A9" s="14" t="s">
        <v>123</v>
      </c>
      <c r="B9" s="14" t="s">
        <v>21</v>
      </c>
      <c r="C9" s="14" t="s">
        <v>122</v>
      </c>
      <c r="D9" s="14"/>
      <c r="E9" s="14"/>
      <c r="F9" s="14"/>
      <c r="G9" s="14"/>
      <c r="H9" s="14"/>
    </row>
    <row r="10" customFormat="false" ht="33" hidden="false" customHeight="true" outlineLevel="0" collapsed="false">
      <c r="A10" s="14" t="s">
        <v>124</v>
      </c>
      <c r="B10" s="14" t="s">
        <v>21</v>
      </c>
      <c r="C10" s="14" t="s">
        <v>122</v>
      </c>
      <c r="D10" s="14"/>
      <c r="E10" s="14"/>
      <c r="F10" s="14"/>
      <c r="G10" s="14"/>
      <c r="H10" s="14"/>
    </row>
    <row r="11" customFormat="false" ht="33" hidden="false" customHeight="true" outlineLevel="0" collapsed="false">
      <c r="A11" s="14" t="s">
        <v>125</v>
      </c>
      <c r="B11" s="14" t="s">
        <v>21</v>
      </c>
      <c r="C11" s="14" t="s">
        <v>122</v>
      </c>
      <c r="D11" s="14"/>
      <c r="E11" s="14"/>
      <c r="F11" s="14"/>
      <c r="G11" s="14"/>
      <c r="H11" s="14"/>
    </row>
    <row r="12" customFormat="false" ht="33" hidden="false" customHeight="true" outlineLevel="0" collapsed="false">
      <c r="A12" s="14" t="s">
        <v>126</v>
      </c>
      <c r="B12" s="14" t="s">
        <v>21</v>
      </c>
      <c r="C12" s="14" t="s">
        <v>122</v>
      </c>
      <c r="D12" s="14"/>
      <c r="E12" s="14"/>
      <c r="F12" s="14"/>
      <c r="G12" s="14"/>
      <c r="H12" s="14"/>
    </row>
    <row r="13" customFormat="false" ht="33" hidden="false" customHeight="true" outlineLevel="0" collapsed="false">
      <c r="A13" s="14" t="s">
        <v>127</v>
      </c>
      <c r="B13" s="14" t="n">
        <v>5928000</v>
      </c>
      <c r="C13" s="14" t="s">
        <v>11</v>
      </c>
      <c r="D13" s="14"/>
      <c r="E13" s="14"/>
      <c r="F13" s="14"/>
      <c r="G13" s="14"/>
      <c r="H13" s="14"/>
    </row>
    <row r="14" customFormat="false" ht="33" hidden="false" customHeight="true" outlineLevel="0" collapsed="false">
      <c r="A14" s="14" t="s">
        <v>128</v>
      </c>
      <c r="B14" s="14" t="e">
        <f aca="false">B$11-B9</f>
        <v>#VALUE!</v>
      </c>
      <c r="C14" s="14" t="s">
        <v>129</v>
      </c>
      <c r="D14" s="14"/>
      <c r="E14" s="14"/>
      <c r="F14" s="14"/>
      <c r="G14" s="14"/>
      <c r="H14" s="14"/>
    </row>
    <row r="15" customFormat="false" ht="33" hidden="false" customHeight="true" outlineLevel="0" collapsed="false">
      <c r="A15" s="14" t="s">
        <v>130</v>
      </c>
      <c r="B15" s="14" t="s">
        <v>21</v>
      </c>
      <c r="C15" s="14" t="s">
        <v>131</v>
      </c>
      <c r="D15" s="14"/>
      <c r="E15" s="14"/>
      <c r="F15" s="14"/>
      <c r="G15" s="14"/>
      <c r="H15" s="14"/>
    </row>
    <row r="16" customFormat="false" ht="33" hidden="false" customHeight="true" outlineLevel="0" collapsed="false"/>
    <row r="17" customFormat="false" ht="33" hidden="false" customHeight="true" outlineLevel="0" collapsed="false"/>
    <row r="18" customFormat="false" ht="33" hidden="false" customHeight="true" outlineLevel="0" collapsed="false"/>
    <row r="19" customFormat="false" ht="33" hidden="false" customHeight="true" outlineLevel="0" collapsed="false"/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132</v>
      </c>
      <c r="B6" s="13"/>
      <c r="C6" s="13"/>
      <c r="D6" s="13"/>
      <c r="E6" s="13"/>
      <c r="F6" s="13"/>
      <c r="G6" s="13"/>
      <c r="H6" s="13"/>
    </row>
    <row r="7" customFormat="false" ht="33" hidden="false" customHeight="true" outlineLevel="0" collapsed="false">
      <c r="A7" s="15" t="s">
        <v>133</v>
      </c>
      <c r="B7" s="15" t="s">
        <v>134</v>
      </c>
      <c r="C7" s="15" t="s">
        <v>135</v>
      </c>
      <c r="D7" s="15" t="s">
        <v>136</v>
      </c>
      <c r="E7" s="15" t="s">
        <v>137</v>
      </c>
      <c r="F7" s="15" t="s">
        <v>138</v>
      </c>
      <c r="G7" s="15" t="s">
        <v>139</v>
      </c>
      <c r="H7" s="15" t="s">
        <v>140</v>
      </c>
    </row>
    <row r="8" customFormat="false" ht="33" hidden="false" customHeight="true" outlineLevel="0" collapsed="false">
      <c r="A8" s="14" t="s">
        <v>141</v>
      </c>
      <c r="B8" s="14" t="n">
        <v>1</v>
      </c>
      <c r="C8" s="14" t="n">
        <v>1</v>
      </c>
      <c r="D8" s="14" t="n">
        <f aca="false">B8*5928000</f>
        <v>5928000</v>
      </c>
      <c r="E8" s="14" t="s">
        <v>21</v>
      </c>
      <c r="F8" s="14" t="e">
        <f aca="false">D8-E8</f>
        <v>#VALUE!</v>
      </c>
      <c r="G8" s="14" t="s">
        <v>21</v>
      </c>
      <c r="H8" s="14" t="s">
        <v>21</v>
      </c>
    </row>
    <row r="9" customFormat="false" ht="33" hidden="false" customHeight="true" outlineLevel="0" collapsed="false">
      <c r="A9" s="14" t="s">
        <v>142</v>
      </c>
      <c r="B9" s="14" t="s">
        <v>21</v>
      </c>
      <c r="C9" s="14" t="s">
        <v>21</v>
      </c>
      <c r="D9" s="14" t="e">
        <f aca="false">B9*5928000</f>
        <v>#VALUE!</v>
      </c>
      <c r="E9" s="14" t="s">
        <v>21</v>
      </c>
      <c r="F9" s="14" t="e">
        <f aca="false">D9-E9</f>
        <v>#VALUE!</v>
      </c>
      <c r="G9" s="14" t="s">
        <v>21</v>
      </c>
      <c r="H9" s="14" t="s">
        <v>21</v>
      </c>
    </row>
    <row r="10" customFormat="false" ht="33" hidden="false" customHeight="true" outlineLevel="0" collapsed="false">
      <c r="A10" s="14" t="s">
        <v>143</v>
      </c>
      <c r="B10" s="14" t="n">
        <v>4</v>
      </c>
      <c r="C10" s="14" t="n">
        <v>4</v>
      </c>
      <c r="D10" s="14" t="n">
        <f aca="false">B10*5928000</f>
        <v>23712000</v>
      </c>
      <c r="E10" s="14" t="s">
        <v>21</v>
      </c>
      <c r="F10" s="14" t="e">
        <f aca="false">D10-E10</f>
        <v>#VALUE!</v>
      </c>
      <c r="G10" s="14" t="s">
        <v>21</v>
      </c>
      <c r="H10" s="14" t="s">
        <v>21</v>
      </c>
    </row>
    <row r="11" customFormat="false" ht="33" hidden="false" customHeight="true" outlineLevel="0" collapsed="false">
      <c r="A11" s="14" t="s">
        <v>144</v>
      </c>
      <c r="B11" s="14" t="n">
        <v>3</v>
      </c>
      <c r="C11" s="14" t="n">
        <v>6</v>
      </c>
      <c r="D11" s="14" t="n">
        <f aca="false">B11*5928000</f>
        <v>17784000</v>
      </c>
      <c r="E11" s="14" t="s">
        <v>21</v>
      </c>
      <c r="F11" s="14" t="e">
        <f aca="false">D11-E11</f>
        <v>#VALUE!</v>
      </c>
      <c r="G11" s="14" t="s">
        <v>21</v>
      </c>
      <c r="H11" s="14" t="s">
        <v>21</v>
      </c>
    </row>
    <row r="12" customFormat="false" ht="33" hidden="false" customHeight="true" outlineLevel="0" collapsed="false">
      <c r="A12" s="14" t="s">
        <v>145</v>
      </c>
      <c r="B12" s="14" t="s">
        <v>21</v>
      </c>
      <c r="C12" s="14" t="s">
        <v>21</v>
      </c>
      <c r="D12" s="14" t="e">
        <f aca="false">B12*5928000</f>
        <v>#VALUE!</v>
      </c>
      <c r="E12" s="14" t="s">
        <v>21</v>
      </c>
      <c r="F12" s="14" t="e">
        <f aca="false">D12-E12</f>
        <v>#VALUE!</v>
      </c>
      <c r="G12" s="14" t="s">
        <v>21</v>
      </c>
      <c r="H12" s="14" t="s">
        <v>21</v>
      </c>
    </row>
    <row r="13" customFormat="false" ht="33" hidden="false" customHeight="true" outlineLevel="0" collapsed="false"/>
    <row r="14" customFormat="false" ht="33" hidden="false" customHeight="true" outlineLevel="0" collapsed="false"/>
    <row r="15" customFormat="false" ht="33" hidden="false" customHeight="true" outlineLevel="0" collapsed="false"/>
    <row r="16" customFormat="false" ht="33" hidden="false" customHeight="true" outlineLevel="0" collapsed="false"/>
    <row r="17" customFormat="false" ht="33" hidden="false" customHeight="true" outlineLevel="0" collapsed="false"/>
    <row r="18" customFormat="false" ht="33" hidden="false" customHeight="true" outlineLevel="0" collapsed="false"/>
    <row r="19" customFormat="false" ht="33" hidden="false" customHeight="true" outlineLevel="0" collapsed="false"/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146</v>
      </c>
      <c r="B6" s="13"/>
      <c r="C6" s="13"/>
      <c r="D6" s="14"/>
      <c r="E6" s="14"/>
      <c r="F6" s="14"/>
      <c r="G6" s="14"/>
      <c r="H6" s="14"/>
    </row>
    <row r="7" customFormat="false" ht="33" hidden="false" customHeight="true" outlineLevel="0" collapsed="false">
      <c r="A7" s="15" t="s">
        <v>133</v>
      </c>
      <c r="B7" s="15" t="s">
        <v>147</v>
      </c>
      <c r="C7" s="15" t="s">
        <v>148</v>
      </c>
      <c r="D7" s="14"/>
      <c r="E7" s="14"/>
      <c r="F7" s="14"/>
      <c r="G7" s="14"/>
      <c r="H7" s="14"/>
    </row>
    <row r="8" customFormat="false" ht="33" hidden="false" customHeight="true" outlineLevel="0" collapsed="false">
      <c r="A8" s="14" t="s">
        <v>149</v>
      </c>
      <c r="B8" s="14" t="s">
        <v>150</v>
      </c>
      <c r="C8" s="14" t="s">
        <v>21</v>
      </c>
      <c r="D8" s="14"/>
      <c r="E8" s="14"/>
      <c r="F8" s="14"/>
      <c r="G8" s="14"/>
      <c r="H8" s="14"/>
    </row>
    <row r="9" customFormat="false" ht="33" hidden="false" customHeight="true" outlineLevel="0" collapsed="false">
      <c r="A9" s="14" t="s">
        <v>151</v>
      </c>
      <c r="B9" s="14" t="s">
        <v>150</v>
      </c>
      <c r="C9" s="14" t="s">
        <v>21</v>
      </c>
      <c r="D9" s="14"/>
      <c r="E9" s="14"/>
      <c r="F9" s="14"/>
      <c r="G9" s="14"/>
      <c r="H9" s="14"/>
    </row>
    <row r="10" customFormat="false" ht="33" hidden="false" customHeight="true" outlineLevel="0" collapsed="false">
      <c r="A10" s="14" t="s">
        <v>152</v>
      </c>
      <c r="B10" s="14" t="s">
        <v>150</v>
      </c>
      <c r="C10" s="14" t="s">
        <v>21</v>
      </c>
      <c r="D10" s="14"/>
      <c r="E10" s="14"/>
      <c r="F10" s="14"/>
      <c r="G10" s="14"/>
      <c r="H10" s="14"/>
    </row>
    <row r="11" customFormat="false" ht="33" hidden="false" customHeight="true" outlineLevel="0" collapsed="false">
      <c r="A11" s="14" t="s">
        <v>153</v>
      </c>
      <c r="B11" s="14" t="s">
        <v>154</v>
      </c>
      <c r="C11" s="14" t="s">
        <v>21</v>
      </c>
      <c r="D11" s="14"/>
      <c r="E11" s="14"/>
      <c r="F11" s="14"/>
      <c r="G11" s="14"/>
      <c r="H11" s="14"/>
    </row>
    <row r="12" customFormat="false" ht="33" hidden="false" customHeight="true" outlineLevel="0" collapsed="false">
      <c r="A12" s="14" t="s">
        <v>155</v>
      </c>
      <c r="B12" s="14" t="s">
        <v>21</v>
      </c>
      <c r="C12" s="14" t="s">
        <v>21</v>
      </c>
      <c r="D12" s="14"/>
      <c r="E12" s="14"/>
      <c r="F12" s="14"/>
      <c r="G12" s="14"/>
      <c r="H12" s="14"/>
    </row>
    <row r="13" customFormat="false" ht="33" hidden="false" customHeight="true" outlineLevel="0" collapsed="false">
      <c r="A13" s="14" t="s">
        <v>156</v>
      </c>
      <c r="B13" s="14" t="s">
        <v>157</v>
      </c>
      <c r="C13" s="14" t="s">
        <v>21</v>
      </c>
      <c r="D13" s="14"/>
      <c r="E13" s="14"/>
      <c r="F13" s="14"/>
      <c r="G13" s="14"/>
      <c r="H13" s="14"/>
    </row>
    <row r="14" customFormat="false" ht="33" hidden="false" customHeight="true" outlineLevel="0" collapsed="false">
      <c r="A14" s="14" t="s">
        <v>158</v>
      </c>
      <c r="B14" s="14" t="s">
        <v>159</v>
      </c>
      <c r="C14" s="14" t="s">
        <v>21</v>
      </c>
      <c r="D14" s="14"/>
      <c r="E14" s="14"/>
      <c r="F14" s="14"/>
      <c r="G14" s="14"/>
      <c r="H14" s="14"/>
    </row>
    <row r="15" customFormat="false" ht="33" hidden="false" customHeight="true" outlineLevel="0" collapsed="false"/>
    <row r="16" customFormat="false" ht="33" hidden="false" customHeight="true" outlineLevel="0" collapsed="false"/>
    <row r="17" customFormat="false" ht="33" hidden="false" customHeight="true" outlineLevel="0" collapsed="false"/>
    <row r="18" customFormat="false" ht="33" hidden="false" customHeight="true" outlineLevel="0" collapsed="false"/>
    <row r="19" customFormat="false" ht="33" hidden="false" customHeight="true" outlineLevel="0" collapsed="false"/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3" t="s">
        <v>160</v>
      </c>
      <c r="B6" s="13"/>
      <c r="C6" s="14"/>
      <c r="D6" s="14"/>
      <c r="E6" s="14"/>
      <c r="F6" s="14"/>
      <c r="G6" s="14"/>
      <c r="H6" s="14"/>
    </row>
    <row r="7" customFormat="false" ht="33" hidden="false" customHeight="true" outlineLevel="0" collapsed="false">
      <c r="A7" s="15" t="s">
        <v>161</v>
      </c>
      <c r="B7" s="15" t="s">
        <v>7</v>
      </c>
      <c r="C7" s="14"/>
      <c r="D7" s="14"/>
      <c r="E7" s="14"/>
      <c r="F7" s="14"/>
      <c r="G7" s="14"/>
      <c r="H7" s="14"/>
    </row>
    <row r="8" customFormat="false" ht="33" hidden="false" customHeight="true" outlineLevel="0" collapsed="false">
      <c r="A8" s="14" t="s">
        <v>162</v>
      </c>
      <c r="B8" s="14" t="s">
        <v>21</v>
      </c>
      <c r="C8" s="14"/>
      <c r="D8" s="14"/>
      <c r="E8" s="14"/>
      <c r="F8" s="14"/>
      <c r="G8" s="14"/>
      <c r="H8" s="14"/>
    </row>
    <row r="9" customFormat="false" ht="33" hidden="false" customHeight="true" outlineLevel="0" collapsed="false">
      <c r="A9" s="14" t="s">
        <v>163</v>
      </c>
      <c r="B9" s="14" t="s">
        <v>164</v>
      </c>
      <c r="C9" s="14"/>
      <c r="D9" s="14"/>
      <c r="E9" s="14"/>
      <c r="F9" s="14"/>
      <c r="G9" s="14"/>
      <c r="H9" s="14"/>
    </row>
    <row r="10" customFormat="false" ht="33" hidden="false" customHeight="true" outlineLevel="0" collapsed="false">
      <c r="A10" s="14" t="s">
        <v>165</v>
      </c>
      <c r="B10" s="14" t="s">
        <v>166</v>
      </c>
      <c r="C10" s="14"/>
      <c r="D10" s="14"/>
      <c r="E10" s="14"/>
      <c r="F10" s="14"/>
      <c r="G10" s="14"/>
      <c r="H10" s="14"/>
    </row>
    <row r="11" customFormat="false" ht="33" hidden="false" customHeight="true" outlineLevel="0" collapsed="false">
      <c r="A11" s="14" t="s">
        <v>167</v>
      </c>
      <c r="B11" s="14" t="s">
        <v>21</v>
      </c>
      <c r="C11" s="14"/>
      <c r="D11" s="14"/>
      <c r="E11" s="14"/>
      <c r="F11" s="14"/>
      <c r="G11" s="14"/>
      <c r="H11" s="14"/>
    </row>
    <row r="12" customFormat="false" ht="33" hidden="false" customHeight="true" outlineLevel="0" collapsed="false">
      <c r="A12" s="14" t="s">
        <v>168</v>
      </c>
      <c r="B12" s="14" t="s">
        <v>21</v>
      </c>
      <c r="C12" s="14"/>
      <c r="D12" s="14"/>
      <c r="E12" s="14"/>
      <c r="F12" s="14"/>
      <c r="G12" s="14"/>
      <c r="H12" s="14"/>
    </row>
    <row r="13" customFormat="false" ht="33" hidden="false" customHeight="true" outlineLevel="0" collapsed="false">
      <c r="A13" s="14" t="s">
        <v>169</v>
      </c>
      <c r="B13" s="14" t="s">
        <v>21</v>
      </c>
      <c r="C13" s="14"/>
      <c r="D13" s="14"/>
      <c r="E13" s="14"/>
      <c r="F13" s="14"/>
      <c r="G13" s="14"/>
      <c r="H13" s="14"/>
    </row>
    <row r="14" customFormat="false" ht="33" hidden="false" customHeight="true" outlineLevel="0" collapsed="false">
      <c r="A14" s="14" t="s">
        <v>170</v>
      </c>
      <c r="B14" s="14" t="s">
        <v>21</v>
      </c>
      <c r="C14" s="14"/>
      <c r="D14" s="14"/>
      <c r="E14" s="14"/>
      <c r="F14" s="14"/>
      <c r="G14" s="14"/>
      <c r="H14" s="14"/>
    </row>
    <row r="15" customFormat="false" ht="33" hidden="false" customHeight="true" outlineLevel="0" collapsed="false">
      <c r="A15" s="14" t="s">
        <v>171</v>
      </c>
      <c r="B15" s="14" t="s">
        <v>21</v>
      </c>
      <c r="C15" s="14"/>
      <c r="D15" s="14"/>
      <c r="E15" s="14"/>
      <c r="F15" s="14"/>
      <c r="G15" s="14"/>
      <c r="H15" s="14"/>
    </row>
    <row r="16" customFormat="false" ht="33" hidden="false" customHeight="true" outlineLevel="0" collapsed="false">
      <c r="A16" s="14" t="s">
        <v>172</v>
      </c>
      <c r="B16" s="14" t="s">
        <v>21</v>
      </c>
      <c r="C16" s="14"/>
      <c r="D16" s="14"/>
      <c r="E16" s="14"/>
      <c r="F16" s="14"/>
      <c r="G16" s="14"/>
      <c r="H16" s="14"/>
    </row>
    <row r="17" customFormat="false" ht="33" hidden="false" customHeight="true" outlineLevel="0" collapsed="false">
      <c r="A17" s="14" t="s">
        <v>173</v>
      </c>
      <c r="B17" s="14" t="s">
        <v>21</v>
      </c>
      <c r="C17" s="14"/>
      <c r="D17" s="14"/>
      <c r="E17" s="14"/>
      <c r="F17" s="14"/>
      <c r="G17" s="14"/>
      <c r="H17" s="14"/>
    </row>
    <row r="18" customFormat="false" ht="33" hidden="false" customHeight="true" outlineLevel="0" collapsed="false">
      <c r="A18" s="14" t="s">
        <v>174</v>
      </c>
      <c r="B18" s="14" t="s">
        <v>21</v>
      </c>
      <c r="C18" s="14"/>
      <c r="D18" s="14"/>
      <c r="E18" s="14"/>
      <c r="F18" s="14"/>
      <c r="G18" s="14"/>
      <c r="H18" s="14"/>
    </row>
    <row r="19" customFormat="false" ht="33" hidden="false" customHeight="true" outlineLevel="0" collapsed="false">
      <c r="A19" s="14" t="s">
        <v>175</v>
      </c>
      <c r="B19" s="14" t="s">
        <v>21</v>
      </c>
      <c r="C19" s="14"/>
      <c r="D19" s="14"/>
      <c r="E19" s="14"/>
      <c r="F19" s="14"/>
      <c r="G19" s="14"/>
      <c r="H19" s="14"/>
    </row>
    <row r="20" customFormat="false" ht="33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2026-07-16T09:48:09Z</dcterms:modified>
  <cp:revision>1</cp:revision>
  <dc:subject/>
  <dc:title/>
</cp:coreProperties>
</file>