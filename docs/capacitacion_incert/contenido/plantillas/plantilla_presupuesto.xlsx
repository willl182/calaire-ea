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  <sheet name="Caso1_analizador" sheetId="2" state="visible" r:id="rId4"/>
    <sheet name="Caso2_patron" sheetId="3" state="visible" r:id="rId5"/>
    <sheet name="Caso3_EN14625" sheetId="4" state="visible" r:id="rId6"/>
    <sheet name="Leyenda" sheetId="5" state="visible" r:id="rId7"/>
  </sheets>
  <definedNames>
    <definedName function="false" hidden="true" localSheetId="1" name="_xlnm._FilterDatabase" vbProcedure="false">Caso1_analizador!$A$1:$K$21</definedName>
    <definedName function="false" hidden="true" localSheetId="2" name="_xlnm._FilterDatabase" vbProcedure="false">Caso2_patron!$A$1:$K$21</definedName>
    <definedName function="false" hidden="true" localSheetId="3" name="_xlnm._FilterDatabase" vbProcedure="false">Caso3_EN14625!$A$1:$K$21</definedName>
    <definedName function="false" hidden="true" localSheetId="0" name="_xlnm._FilterDatabase" vbProcedure="false">Plantilla!$A$1:$K$21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<sst xmlns="http://schemas.openxmlformats.org/spreadsheetml/2006/main" count="169" uniqueCount="91">
  <si>
    <t xml:space="preserve">componente</t>
  </si>
  <si>
    <t xml:space="preserve">descripción</t>
  </si>
  <si>
    <t xml:space="preserve">valor</t>
  </si>
  <si>
    <t xml:space="preserve">PDF</t>
  </si>
  <si>
    <t xml:space="preserve">divisor</t>
  </si>
  <si>
    <t xml:space="preserve">u estándar</t>
  </si>
  <si>
    <t xml:space="preserve">c_i</t>
  </si>
  <si>
    <t xml:space="preserve">gl</t>
  </si>
  <si>
    <t xml:space="preserve">u_i(y)</t>
  </si>
  <si>
    <t xml:space="preserve">varianza %</t>
  </si>
  <si>
    <t xml:space="preserve">ranking</t>
  </si>
  <si>
    <t xml:space="preserve">y nominal (nmol/mol)</t>
  </si>
  <si>
    <t xml:space="preserve">u_c (nmol/mol)</t>
  </si>
  <si>
    <t xml:space="preserve">nu_eff</t>
  </si>
  <si>
    <t xml:space="preserve">k (95.45 %)</t>
  </si>
  <si>
    <t xml:space="preserve">U (nmol/mol)</t>
  </si>
  <si>
    <t xml:space="preserve">W (%)</t>
  </si>
  <si>
    <t xml:space="preserve">ruido (RMS)</t>
  </si>
  <si>
    <t xml:space="preserve">spec 0.25 ppb RMS, tratada como u</t>
  </si>
  <si>
    <t xml:space="preserve">normal_u</t>
  </si>
  <si>
    <t xml:space="preserve">deriva cero 24h</t>
  </si>
  <si>
    <t xml:space="preserve">spec &lt;1 ppb, rectangular</t>
  </si>
  <si>
    <t xml:space="preserve">rectangular</t>
  </si>
  <si>
    <t xml:space="preserve">deriva span 24h</t>
  </si>
  <si>
    <t xml:space="preserve">SUPUESTO 1% de 120 ppb (spec real: 1%/mes)</t>
  </si>
  <si>
    <t xml:space="preserve">linealidad</t>
  </si>
  <si>
    <t xml:space="preserve">±1% FS (200 ppb), rectangular</t>
  </si>
  <si>
    <t xml:space="preserve">efecto presion</t>
  </si>
  <si>
    <t xml:space="preserve">0.36 ppb equivalente, SUPUESTO</t>
  </si>
  <si>
    <t xml:space="preserve">resolucion</t>
  </si>
  <si>
    <t xml:space="preserve">0.1 ppb, rectangular (semiancho/2)</t>
  </si>
  <si>
    <t xml:space="preserve">certificado calibr.</t>
  </si>
  <si>
    <t xml:space="preserve">U = 1.8 ppb, k = 2, SUPUESTO</t>
  </si>
  <si>
    <t xml:space="preserve">normal_U_k2</t>
  </si>
  <si>
    <t xml:space="preserve">y nominal (ppb)</t>
  </si>
  <si>
    <t xml:space="preserve">u_c (ppb)</t>
  </si>
  <si>
    <t xml:space="preserve">U (ppb)</t>
  </si>
  <si>
    <t xml:space="preserve">repetibilidad</t>
  </si>
  <si>
    <t xml:space="preserve">s de 3 ciclos (Tipo A)</t>
  </si>
  <si>
    <t xml:space="preserve">certificado referencia</t>
  </si>
  <si>
    <t xml:space="preserve">U(X)=0.5+0.01X ppb @100 -&gt; 1.5, k=2</t>
  </si>
  <si>
    <t xml:space="preserve">falta de ajuste</t>
  </si>
  <si>
    <t xml:space="preserve">residuo max regresion, rectangular</t>
  </si>
  <si>
    <t xml:space="preserve">deriva entre verif.</t>
  </si>
  <si>
    <t xml:space="preserve">cambio pendiente*nivel, rectangular</t>
  </si>
  <si>
    <t xml:space="preserve">aire cero</t>
  </si>
  <si>
    <t xml:space="preserve">impureza &lt;=1 ppb, rectangular</t>
  </si>
  <si>
    <t xml:space="preserve">u_r,z  repetib. cero</t>
  </si>
  <si>
    <t xml:space="preserve">Tipo A</t>
  </si>
  <si>
    <t xml:space="preserve">u_r,lh repetib. 120</t>
  </si>
  <si>
    <t xml:space="preserve">u_l,lh falta de ajuste</t>
  </si>
  <si>
    <t xml:space="preserve">r_max=1.8% -&gt; 1.8%*120/sqrt3 (valor=semiancho)</t>
  </si>
  <si>
    <t xml:space="preserve">u_gp   presion muestra</t>
  </si>
  <si>
    <t xml:space="preserve">influencia</t>
  </si>
  <si>
    <t xml:space="preserve">u_gt   temp. muestra</t>
  </si>
  <si>
    <t xml:space="preserve">u_st   temp. entorno</t>
  </si>
  <si>
    <t xml:space="preserve">u_V    tension</t>
  </si>
  <si>
    <t xml:space="preserve">u_H2O  vapor de agua</t>
  </si>
  <si>
    <t xml:space="preserve">interferente positivo</t>
  </si>
  <si>
    <t xml:space="preserve">u_int  tolueno/xileno</t>
  </si>
  <si>
    <t xml:space="preserve">interferentes</t>
  </si>
  <si>
    <t xml:space="preserve">u_av   promediado</t>
  </si>
  <si>
    <t xml:space="preserve">efecto de promediado</t>
  </si>
  <si>
    <t xml:space="preserve">u_dsc  puertos</t>
  </si>
  <si>
    <t xml:space="preserve">muestra vs calibracion</t>
  </si>
  <si>
    <t xml:space="preserve">u_cg   gas de calibr.</t>
  </si>
  <si>
    <t xml:space="preserve">patron de calibracion</t>
  </si>
  <si>
    <t xml:space="preserve">Leyenda y uso</t>
  </si>
  <si>
    <t xml:space="preserve">uso</t>
  </si>
  <si>
    <t xml:space="preserve">fórmula</t>
  </si>
  <si>
    <t xml:space="preserve">u estándar dada directamente</t>
  </si>
  <si>
    <t xml:space="preserve">1</t>
  </si>
  <si>
    <t xml:space="preserve">incertidumbre expandida U con k=2</t>
  </si>
  <si>
    <t xml:space="preserve">2</t>
  </si>
  <si>
    <t xml:space="preserve">semiancho a de distribución rectangular</t>
  </si>
  <si>
    <t xml:space="preserve">SQRT(3)</t>
  </si>
  <si>
    <t xml:space="preserve">triangular</t>
  </si>
  <si>
    <t xml:space="preserve">semiancho a de distribución triangular</t>
  </si>
  <si>
    <t xml:space="preserve">SQRT(6)</t>
  </si>
  <si>
    <t xml:space="preserve">arcoseno</t>
  </si>
  <si>
    <t xml:space="preserve">semiancho a de distribución arcoseno</t>
  </si>
  <si>
    <t xml:space="preserve">SQRT(2)</t>
  </si>
  <si>
    <t xml:space="preserve">Instrucciones</t>
  </si>
  <si>
    <t xml:space="preserve">1. Ingrese componente, descripción, valor, PDF, c_i y gl en celdas amarillas.</t>
  </si>
  <si>
    <t xml:space="preserve">2. Deje gl vacío para componentes Tipo B con grados de libertad infinitos.</t>
  </si>
  <si>
    <t xml:space="preserve">3. divisor, u estándar, u_i(y), varianza %, ranking y totales se calculan con fórmulas vivas.</t>
  </si>
  <si>
    <t xml:space="preserve">4. valor representa u, U o semiancho según PDF seleccionado.</t>
  </si>
  <si>
    <t xml:space="preserve">5. Cambie y nominal para calcular W = 100·U/y nominal.</t>
  </si>
  <si>
    <t xml:space="preserve">6. k usa distribución normal para nu_eff infinito y T.INV.2T para nu_eff finito, igual que script R.</t>
  </si>
  <si>
    <t xml:space="preserve">Caso 3 es reconstrucción didáctica. Totales de referencia: u_c=4.3 nmol/mol y W=7.1 %.</t>
  </si>
  <si>
    <t xml:space="preserve">Celdas azules/amarillas: entradas editables. Texto negro: fórmulas.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</si>
</sst>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"/>
    <numFmt numFmtId="167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D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/>
      <c r="B2" s="3"/>
      <c r="C2" s="4"/>
      <c r="D2" s="2"/>
      <c r="E2" s="5" t="str">
        <f aca="false">IF(D2="","",IF(D2="normal_u",1,IF(D2="normal_U_k2",2,IF(D2="rectangular",SQRT(3),IF(D2="triangular",SQRT(6),IF(D2="arcoseno",SQRT(2),""))))))</f>
        <v/>
      </c>
      <c r="F2" s="5" t="str">
        <f aca="false">IFERROR(IF(OR(C2="",E2=""),"",C2/E2),"")</f>
        <v/>
      </c>
      <c r="G2" s="4"/>
      <c r="H2" s="4"/>
      <c r="I2" s="5" t="str">
        <f aca="false">IFERROR(IF(OR(F2="",G2=""),"",ABS(G2)*F2),"")</f>
        <v/>
      </c>
      <c r="J2" s="6" t="str">
        <f aca="false">IFERROR(IF(I2="","",100*I2^2/$B$24^2),"")</f>
        <v/>
      </c>
      <c r="K2" s="7" t="str">
        <f aca="false">IF(J2="","",RANK(J2,$J$2:$J$21,0))</f>
        <v/>
      </c>
      <c r="L2" s="0" t="n">
        <f aca="false">IFERROR(IF(H2="",0,I2^4/H2),0)</f>
        <v>0</v>
      </c>
    </row>
    <row r="3" customFormat="false" ht="15" hidden="false" customHeight="false" outlineLevel="0" collapsed="false">
      <c r="A3" s="2"/>
      <c r="B3" s="3"/>
      <c r="C3" s="4"/>
      <c r="D3" s="2"/>
      <c r="E3" s="5" t="str">
        <f aca="false">IF(D3="","",IF(D3="normal_u",1,IF(D3="normal_U_k2",2,IF(D3="rectangular",SQRT(3),IF(D3="triangular",SQRT(6),IF(D3="arcoseno",SQRT(2),""))))))</f>
        <v/>
      </c>
      <c r="F3" s="5" t="str">
        <f aca="false">IFERROR(IF(OR(C3="",E3=""),"",C3/E3),"")</f>
        <v/>
      </c>
      <c r="G3" s="4"/>
      <c r="H3" s="4"/>
      <c r="I3" s="5" t="str">
        <f aca="false">IFERROR(IF(OR(F3="",G3=""),"",ABS(G3)*F3),"")</f>
        <v/>
      </c>
      <c r="J3" s="6" t="str">
        <f aca="false">IFERROR(IF(I3="","",100*I3^2/$B$24^2),"")</f>
        <v/>
      </c>
      <c r="K3" s="7" t="str">
        <f aca="false">IF(J3="","",RANK(J3,$J$2:$J$21,0))</f>
        <v/>
      </c>
      <c r="L3" s="0" t="n">
        <f aca="false">IFERROR(IF(H3="",0,I3^4/H3),0)</f>
        <v>0</v>
      </c>
    </row>
    <row r="4" customFormat="false" ht="15" hidden="false" customHeight="false" outlineLevel="0" collapsed="false">
      <c r="A4" s="2"/>
      <c r="B4" s="3"/>
      <c r="C4" s="4"/>
      <c r="D4" s="2"/>
      <c r="E4" s="5" t="str">
        <f aca="false">IF(D4="","",IF(D4="normal_u",1,IF(D4="normal_U_k2",2,IF(D4="rectangular",SQRT(3),IF(D4="triangular",SQRT(6),IF(D4="arcoseno",SQRT(2),""))))))</f>
        <v/>
      </c>
      <c r="F4" s="5" t="str">
        <f aca="false">IFERROR(IF(OR(C4="",E4=""),"",C4/E4),"")</f>
        <v/>
      </c>
      <c r="G4" s="4"/>
      <c r="H4" s="4"/>
      <c r="I4" s="5" t="str">
        <f aca="false">IFERROR(IF(OR(F4="",G4=""),"",ABS(G4)*F4),"")</f>
        <v/>
      </c>
      <c r="J4" s="6" t="str">
        <f aca="false">IFERROR(IF(I4="","",100*I4^2/$B$24^2),"")</f>
        <v/>
      </c>
      <c r="K4" s="7" t="str">
        <f aca="false">IF(J4="","",RANK(J4,$J$2:$J$21,0))</f>
        <v/>
      </c>
      <c r="L4" s="0" t="n">
        <f aca="false">IFERROR(IF(H4="",0,I4^4/H4),0)</f>
        <v>0</v>
      </c>
    </row>
    <row r="5" customFormat="false" ht="15" hidden="false" customHeight="false" outlineLevel="0" collapsed="false">
      <c r="A5" s="2"/>
      <c r="B5" s="3"/>
      <c r="C5" s="4"/>
      <c r="D5" s="2"/>
      <c r="E5" s="5" t="str">
        <f aca="false">IF(D5="","",IF(D5="normal_u",1,IF(D5="normal_U_k2",2,IF(D5="rectangular",SQRT(3),IF(D5="triangular",SQRT(6),IF(D5="arcoseno",SQRT(2),""))))))</f>
        <v/>
      </c>
      <c r="F5" s="5" t="str">
        <f aca="false">IFERROR(IF(OR(C5="",E5=""),"",C5/E5),"")</f>
        <v/>
      </c>
      <c r="G5" s="4"/>
      <c r="H5" s="4"/>
      <c r="I5" s="5" t="str">
        <f aca="false">IFERROR(IF(OR(F5="",G5=""),"",ABS(G5)*F5),"")</f>
        <v/>
      </c>
      <c r="J5" s="6" t="str">
        <f aca="false">IFERROR(IF(I5="","",100*I5^2/$B$24^2),"")</f>
        <v/>
      </c>
      <c r="K5" s="7" t="str">
        <f aca="false">IF(J5="","",RANK(J5,$J$2:$J$21,0))</f>
        <v/>
      </c>
      <c r="L5" s="0" t="n">
        <f aca="false">IFERROR(IF(H5="",0,I5^4/H5),0)</f>
        <v>0</v>
      </c>
    </row>
    <row r="6" customFormat="false" ht="15" hidden="false" customHeight="false" outlineLevel="0" collapsed="false">
      <c r="A6" s="2"/>
      <c r="B6" s="3"/>
      <c r="C6" s="4"/>
      <c r="D6" s="2"/>
      <c r="E6" s="5" t="str">
        <f aca="false">IF(D6="","",IF(D6="normal_u",1,IF(D6="normal_U_k2",2,IF(D6="rectangular",SQRT(3),IF(D6="triangular",SQRT(6),IF(D6="arcoseno",SQRT(2),""))))))</f>
        <v/>
      </c>
      <c r="F6" s="5" t="str">
        <f aca="false">IFERROR(IF(OR(C6="",E6=""),"",C6/E6),"")</f>
        <v/>
      </c>
      <c r="G6" s="4"/>
      <c r="H6" s="4"/>
      <c r="I6" s="5" t="str">
        <f aca="false">IFERROR(IF(OR(F6="",G6=""),"",ABS(G6)*F6),"")</f>
        <v/>
      </c>
      <c r="J6" s="6" t="str">
        <f aca="false">IFERROR(IF(I6="","",100*I6^2/$B$24^2),"")</f>
        <v/>
      </c>
      <c r="K6" s="7" t="str">
        <f aca="false">IF(J6="","",RANK(J6,$J$2:$J$21,0))</f>
        <v/>
      </c>
      <c r="L6" s="0" t="n">
        <f aca="false">IFERROR(IF(H6="",0,I6^4/H6),0)</f>
        <v>0</v>
      </c>
    </row>
    <row r="7" customFormat="false" ht="15" hidden="false" customHeight="false" outlineLevel="0" collapsed="false">
      <c r="A7" s="2"/>
      <c r="B7" s="3"/>
      <c r="C7" s="4"/>
      <c r="D7" s="2"/>
      <c r="E7" s="5" t="str">
        <f aca="false">IF(D7="","",IF(D7="normal_u",1,IF(D7="normal_U_k2",2,IF(D7="rectangular",SQRT(3),IF(D7="triangular",SQRT(6),IF(D7="arcoseno",SQRT(2),""))))))</f>
        <v/>
      </c>
      <c r="F7" s="5" t="str">
        <f aca="false">IFERROR(IF(OR(C7="",E7=""),"",C7/E7),"")</f>
        <v/>
      </c>
      <c r="G7" s="4"/>
      <c r="H7" s="4"/>
      <c r="I7" s="5" t="str">
        <f aca="false">IFERROR(IF(OR(F7="",G7=""),"",ABS(G7)*F7),"")</f>
        <v/>
      </c>
      <c r="J7" s="6" t="str">
        <f aca="false">IFERROR(IF(I7="","",100*I7^2/$B$24^2),"")</f>
        <v/>
      </c>
      <c r="K7" s="7" t="str">
        <f aca="false">IF(J7="","",RANK(J7,$J$2:$J$21,0))</f>
        <v/>
      </c>
      <c r="L7" s="0" t="n">
        <f aca="false">IFERROR(IF(H7="",0,I7^4/H7),0)</f>
        <v>0</v>
      </c>
    </row>
    <row r="8" customFormat="false" ht="15" hidden="false" customHeight="false" outlineLevel="0" collapsed="false">
      <c r="A8" s="2"/>
      <c r="B8" s="3"/>
      <c r="C8" s="4"/>
      <c r="D8" s="2"/>
      <c r="E8" s="5" t="str">
        <f aca="false">IF(D8="","",IF(D8="normal_u",1,IF(D8="normal_U_k2",2,IF(D8="rectangular",SQRT(3),IF(D8="triangular",SQRT(6),IF(D8="arcoseno",SQRT(2),""))))))</f>
        <v/>
      </c>
      <c r="F8" s="5" t="str">
        <f aca="false">IFERROR(IF(OR(C8="",E8=""),"",C8/E8),"")</f>
        <v/>
      </c>
      <c r="G8" s="4"/>
      <c r="H8" s="4"/>
      <c r="I8" s="5" t="str">
        <f aca="false">IFERROR(IF(OR(F8="",G8=""),"",ABS(G8)*F8),"")</f>
        <v/>
      </c>
      <c r="J8" s="6" t="str">
        <f aca="false">IFERROR(IF(I8="","",100*I8^2/$B$24^2),"")</f>
        <v/>
      </c>
      <c r="K8" s="7" t="str">
        <f aca="false">IF(J8="","",RANK(J8,$J$2:$J$21,0))</f>
        <v/>
      </c>
      <c r="L8" s="0" t="n">
        <f aca="false">IFERROR(IF(H8="",0,I8^4/H8),0)</f>
        <v>0</v>
      </c>
    </row>
    <row r="9" customFormat="false" ht="15" hidden="false" customHeight="false" outlineLevel="0" collapsed="false">
      <c r="A9" s="2"/>
      <c r="B9" s="3"/>
      <c r="C9" s="4"/>
      <c r="D9" s="2"/>
      <c r="E9" s="5" t="str">
        <f aca="false">IF(D9="","",IF(D9="normal_u",1,IF(D9="normal_U_k2",2,IF(D9="rectangular",SQRT(3),IF(D9="triangular",SQRT(6),IF(D9="arcoseno",SQRT(2),""))))))</f>
        <v/>
      </c>
      <c r="F9" s="5" t="str">
        <f aca="false">IFERROR(IF(OR(C9="",E9=""),"",C9/E9),"")</f>
        <v/>
      </c>
      <c r="G9" s="4"/>
      <c r="H9" s="4"/>
      <c r="I9" s="5" t="str">
        <f aca="false">IFERROR(IF(OR(F9="",G9=""),"",ABS(G9)*F9),"")</f>
        <v/>
      </c>
      <c r="J9" s="6" t="str">
        <f aca="false">IFERROR(IF(I9="","",100*I9^2/$B$24^2),"")</f>
        <v/>
      </c>
      <c r="K9" s="7" t="str">
        <f aca="false">IF(J9="","",RANK(J9,$J$2:$J$21,0))</f>
        <v/>
      </c>
      <c r="L9" s="0" t="n">
        <f aca="false">IFERROR(IF(H9="",0,I9^4/H9),0)</f>
        <v>0</v>
      </c>
    </row>
    <row r="10" customFormat="false" ht="15" hidden="false" customHeight="false" outlineLevel="0" collapsed="false">
      <c r="A10" s="2"/>
      <c r="B10" s="3"/>
      <c r="C10" s="4"/>
      <c r="D10" s="2"/>
      <c r="E10" s="5" t="str">
        <f aca="false">IF(D10="","",IF(D10="normal_u",1,IF(D10="normal_U_k2",2,IF(D10="rectangular",SQRT(3),IF(D10="triangular",SQRT(6),IF(D10="arcoseno",SQRT(2),""))))))</f>
        <v/>
      </c>
      <c r="F10" s="5" t="str">
        <f aca="false">IFERROR(IF(OR(C10="",E10=""),"",C10/E10),"")</f>
        <v/>
      </c>
      <c r="G10" s="4"/>
      <c r="H10" s="4"/>
      <c r="I10" s="5" t="str">
        <f aca="false">IFERROR(IF(OR(F10="",G10=""),"",ABS(G10)*F10),"")</f>
        <v/>
      </c>
      <c r="J10" s="6" t="str">
        <f aca="false">IFERROR(IF(I10="","",100*I10^2/$B$24^2),"")</f>
        <v/>
      </c>
      <c r="K10" s="7" t="str">
        <f aca="false">IF(J10="","",RANK(J10,$J$2:$J$21,0))</f>
        <v/>
      </c>
      <c r="L10" s="0" t="n">
        <f aca="false">IFERROR(IF(H10="",0,I10^4/H10),0)</f>
        <v>0</v>
      </c>
    </row>
    <row r="11" customFormat="false" ht="15" hidden="false" customHeight="false" outlineLevel="0" collapsed="false">
      <c r="A11" s="2"/>
      <c r="B11" s="3"/>
      <c r="C11" s="4"/>
      <c r="D11" s="2"/>
      <c r="E11" s="5" t="str">
        <f aca="false">IF(D11="","",IF(D11="normal_u",1,IF(D11="normal_U_k2",2,IF(D11="rectangular",SQRT(3),IF(D11="triangular",SQRT(6),IF(D11="arcoseno",SQRT(2),""))))))</f>
        <v/>
      </c>
      <c r="F11" s="5" t="str">
        <f aca="false">IFERROR(IF(OR(C11="",E11=""),"",C11/E11),"")</f>
        <v/>
      </c>
      <c r="G11" s="4"/>
      <c r="H11" s="4"/>
      <c r="I11" s="5" t="str">
        <f aca="false">IFERROR(IF(OR(F11="",G11=""),"",ABS(G11)*F11),"")</f>
        <v/>
      </c>
      <c r="J11" s="6" t="str">
        <f aca="false">IFERROR(IF(I11="","",100*I11^2/$B$24^2),"")</f>
        <v/>
      </c>
      <c r="K11" s="7" t="str">
        <f aca="false">IF(J11="","",RANK(J11,$J$2:$J$21,0))</f>
        <v/>
      </c>
      <c r="L11" s="0" t="n">
        <f aca="false">IFERROR(IF(H11="",0,I11^4/H11),0)</f>
        <v>0</v>
      </c>
    </row>
    <row r="12" customFormat="false" ht="15" hidden="false" customHeight="false" outlineLevel="0" collapsed="false">
      <c r="A12" s="2"/>
      <c r="B12" s="3"/>
      <c r="C12" s="4"/>
      <c r="D12" s="2"/>
      <c r="E12" s="5" t="str">
        <f aca="false">IF(D12="","",IF(D12="normal_u",1,IF(D12="normal_U_k2",2,IF(D12="rectangular",SQRT(3),IF(D12="triangular",SQRT(6),IF(D12="arcoseno",SQRT(2),""))))))</f>
        <v/>
      </c>
      <c r="F12" s="5" t="str">
        <f aca="false">IFERROR(IF(OR(C12="",E12=""),"",C12/E12),"")</f>
        <v/>
      </c>
      <c r="G12" s="4"/>
      <c r="H12" s="4"/>
      <c r="I12" s="5" t="str">
        <f aca="false">IFERROR(IF(OR(F12="",G12=""),"",ABS(G12)*F12),"")</f>
        <v/>
      </c>
      <c r="J12" s="6" t="str">
        <f aca="false">IFERROR(IF(I12="","",100*I12^2/$B$24^2),"")</f>
        <v/>
      </c>
      <c r="K12" s="7" t="str">
        <f aca="false">IF(J12="","",RANK(J12,$J$2:$J$21,0))</f>
        <v/>
      </c>
      <c r="L12" s="0" t="n">
        <f aca="false">IFERROR(IF(H12="",0,I12^4/H12),0)</f>
        <v>0</v>
      </c>
    </row>
    <row r="13" customFormat="false" ht="15" hidden="false" customHeight="false" outlineLevel="0" collapsed="false">
      <c r="A13" s="2"/>
      <c r="B13" s="3"/>
      <c r="C13" s="4"/>
      <c r="D13" s="2"/>
      <c r="E13" s="5" t="str">
        <f aca="false">IF(D13="","",IF(D13="normal_u",1,IF(D13="normal_U_k2",2,IF(D13="rectangular",SQRT(3),IF(D13="triangular",SQRT(6),IF(D13="arcoseno",SQRT(2),""))))))</f>
        <v/>
      </c>
      <c r="F13" s="5" t="str">
        <f aca="false">IFERROR(IF(OR(C13="",E13=""),"",C13/E13),"")</f>
        <v/>
      </c>
      <c r="G13" s="4"/>
      <c r="H13" s="4"/>
      <c r="I13" s="5" t="str">
        <f aca="false">IFERROR(IF(OR(F13="",G13=""),"",ABS(G13)*F13),"")</f>
        <v/>
      </c>
      <c r="J13" s="6" t="str">
        <f aca="false">IFERROR(IF(I13="","",100*I13^2/$B$24^2),"")</f>
        <v/>
      </c>
      <c r="K13" s="7" t="str">
        <f aca="false">IF(J13="","",RANK(J13,$J$2:$J$21,0))</f>
        <v/>
      </c>
      <c r="L13" s="0" t="n">
        <f aca="false">IFERROR(IF(H13="",0,I13^4/H13),0)</f>
        <v>0</v>
      </c>
    </row>
    <row r="14" customFormat="false" ht="15" hidden="false" customHeight="false" outlineLevel="0" collapsed="false">
      <c r="A14" s="2"/>
      <c r="B14" s="3"/>
      <c r="C14" s="4"/>
      <c r="D14" s="2"/>
      <c r="E14" s="5" t="str">
        <f aca="false">IF(D14="","",IF(D14="normal_u",1,IF(D14="normal_U_k2",2,IF(D14="rectangular",SQRT(3),IF(D14="triangular",SQRT(6),IF(D14="arcoseno",SQRT(2),""))))))</f>
        <v/>
      </c>
      <c r="F14" s="5" t="str">
        <f aca="false">IFERROR(IF(OR(C14="",E14=""),"",C14/E14),"")</f>
        <v/>
      </c>
      <c r="G14" s="4"/>
      <c r="H14" s="4"/>
      <c r="I14" s="5" t="str">
        <f aca="false">IFERROR(IF(OR(F14="",G14=""),"",ABS(G14)*F14),"")</f>
        <v/>
      </c>
      <c r="J14" s="6" t="str">
        <f aca="false">IFERROR(IF(I14="","",100*I14^2/$B$24^2),"")</f>
        <v/>
      </c>
      <c r="K14" s="7" t="str">
        <f aca="false">IF(J14="","",RANK(J14,$J$2:$J$21,0))</f>
        <v/>
      </c>
      <c r="L14" s="0" t="n">
        <f aca="false">IFERROR(IF(H14="",0,I14^4/H14),0)</f>
        <v>0</v>
      </c>
    </row>
    <row r="15" customFormat="false" ht="15" hidden="false" customHeight="false" outlineLevel="0" collapsed="false">
      <c r="A15" s="2"/>
      <c r="B15" s="3"/>
      <c r="C15" s="4"/>
      <c r="D15" s="2"/>
      <c r="E15" s="5" t="str">
        <f aca="false">IF(D15="","",IF(D15="normal_u",1,IF(D15="normal_U_k2",2,IF(D15="rectangular",SQRT(3),IF(D15="triangular",SQRT(6),IF(D15="arcoseno",SQRT(2),""))))))</f>
        <v/>
      </c>
      <c r="F15" s="5" t="str">
        <f aca="false">IFERROR(IF(OR(C15="",E15=""),"",C15/E15),"")</f>
        <v/>
      </c>
      <c r="G15" s="4"/>
      <c r="H15" s="4"/>
      <c r="I15" s="5" t="str">
        <f aca="false">IFERROR(IF(OR(F15="",G15=""),"",ABS(G15)*F15),"")</f>
        <v/>
      </c>
      <c r="J15" s="6" t="str">
        <f aca="false">IFERROR(IF(I15="","",100*I15^2/$B$24^2),"")</f>
        <v/>
      </c>
      <c r="K15" s="7" t="str">
        <f aca="false">IF(J15="","",RANK(J15,$J$2:$J$21,0))</f>
        <v/>
      </c>
      <c r="L15" s="0" t="n">
        <f aca="false">IFERROR(IF(H15="",0,I15^4/H15),0)</f>
        <v>0</v>
      </c>
    </row>
    <row r="16" customFormat="false" ht="15" hidden="false" customHeight="false" outlineLevel="0" collapsed="false">
      <c r="A16" s="2"/>
      <c r="B16" s="3"/>
      <c r="C16" s="4"/>
      <c r="D16" s="2"/>
      <c r="E16" s="5" t="str">
        <f aca="false">IF(D16="","",IF(D16="normal_u",1,IF(D16="normal_U_k2",2,IF(D16="rectangular",SQRT(3),IF(D16="triangular",SQRT(6),IF(D16="arcoseno",SQRT(2),""))))))</f>
        <v/>
      </c>
      <c r="F16" s="5" t="str">
        <f aca="false">IFERROR(IF(OR(C16="",E16=""),"",C16/E16),"")</f>
        <v/>
      </c>
      <c r="G16" s="4"/>
      <c r="H16" s="4"/>
      <c r="I16" s="5" t="str">
        <f aca="false">IFERROR(IF(OR(F16="",G16=""),"",ABS(G16)*F16),"")</f>
        <v/>
      </c>
      <c r="J16" s="6" t="str">
        <f aca="false">IFERROR(IF(I16="","",100*I16^2/$B$24^2),"")</f>
        <v/>
      </c>
      <c r="K16" s="7" t="str">
        <f aca="false">IF(J16="","",RANK(J16,$J$2:$J$21,0))</f>
        <v/>
      </c>
      <c r="L16" s="0" t="n">
        <f aca="false">IFERROR(IF(H16="",0,I16^4/H16),0)</f>
        <v>0</v>
      </c>
    </row>
    <row r="17" customFormat="false" ht="15" hidden="false" customHeight="false" outlineLevel="0" collapsed="false">
      <c r="A17" s="2"/>
      <c r="B17" s="3"/>
      <c r="C17" s="4"/>
      <c r="D17" s="2"/>
      <c r="E17" s="5" t="str">
        <f aca="false">IF(D17="","",IF(D17="normal_u",1,IF(D17="normal_U_k2",2,IF(D17="rectangular",SQRT(3),IF(D17="triangular",SQRT(6),IF(D17="arcoseno",SQRT(2),""))))))</f>
        <v/>
      </c>
      <c r="F17" s="5" t="str">
        <f aca="false">IFERROR(IF(OR(C17="",E17=""),"",C17/E17),"")</f>
        <v/>
      </c>
      <c r="G17" s="4"/>
      <c r="H17" s="4"/>
      <c r="I17" s="5" t="str">
        <f aca="false">IFERROR(IF(OR(F17="",G17=""),"",ABS(G17)*F17),"")</f>
        <v/>
      </c>
      <c r="J17" s="6" t="str">
        <f aca="false">IFERROR(IF(I17="","",100*I17^2/$B$24^2),"")</f>
        <v/>
      </c>
      <c r="K17" s="7" t="str">
        <f aca="false">IF(J17="","",RANK(J17,$J$2:$J$21,0))</f>
        <v/>
      </c>
      <c r="L17" s="0" t="n">
        <f aca="false">IFERROR(IF(H17="",0,I17^4/H17),0)</f>
        <v>0</v>
      </c>
    </row>
    <row r="18" customFormat="false" ht="15" hidden="false" customHeight="false" outlineLevel="0" collapsed="false">
      <c r="A18" s="2"/>
      <c r="B18" s="3"/>
      <c r="C18" s="4"/>
      <c r="D18" s="2"/>
      <c r="E18" s="5" t="str">
        <f aca="false">IF(D18="","",IF(D18="normal_u",1,IF(D18="normal_U_k2",2,IF(D18="rectangular",SQRT(3),IF(D18="triangular",SQRT(6),IF(D18="arcoseno",SQRT(2),""))))))</f>
        <v/>
      </c>
      <c r="F18" s="5" t="str">
        <f aca="false">IFERROR(IF(OR(C18="",E18=""),"",C18/E18),"")</f>
        <v/>
      </c>
      <c r="G18" s="4"/>
      <c r="H18" s="4"/>
      <c r="I18" s="5" t="str">
        <f aca="false">IFERROR(IF(OR(F18="",G18=""),"",ABS(G18)*F18),"")</f>
        <v/>
      </c>
      <c r="J18" s="6" t="str">
        <f aca="false">IFERROR(IF(I18="","",100*I18^2/$B$24^2),"")</f>
        <v/>
      </c>
      <c r="K18" s="7" t="str">
        <f aca="false">IF(J18="","",RANK(J18,$J$2:$J$21,0))</f>
        <v/>
      </c>
      <c r="L18" s="0" t="n">
        <f aca="false">IFERROR(IF(H18="",0,I18^4/H18),0)</f>
        <v>0</v>
      </c>
    </row>
    <row r="19" customFormat="false" ht="15" hidden="false" customHeight="false" outlineLevel="0" collapsed="false">
      <c r="A19" s="2"/>
      <c r="B19" s="3"/>
      <c r="C19" s="4"/>
      <c r="D19" s="2"/>
      <c r="E19" s="5" t="str">
        <f aca="false">IF(D19="","",IF(D19="normal_u",1,IF(D19="normal_U_k2",2,IF(D19="rectangular",SQRT(3),IF(D19="triangular",SQRT(6),IF(D19="arcoseno",SQRT(2),""))))))</f>
        <v/>
      </c>
      <c r="F19" s="5" t="str">
        <f aca="false">IFERROR(IF(OR(C19="",E19=""),"",C19/E19),"")</f>
        <v/>
      </c>
      <c r="G19" s="4"/>
      <c r="H19" s="4"/>
      <c r="I19" s="5" t="str">
        <f aca="false">IFERROR(IF(OR(F19="",G19=""),"",ABS(G19)*F19),"")</f>
        <v/>
      </c>
      <c r="J19" s="6" t="str">
        <f aca="false">IFERROR(IF(I19="","",100*I19^2/$B$24^2),"")</f>
        <v/>
      </c>
      <c r="K19" s="7" t="str">
        <f aca="false">IF(J19="","",RANK(J19,$J$2:$J$21,0))</f>
        <v/>
      </c>
      <c r="L19" s="0" t="n">
        <f aca="false">IFERROR(IF(H19="",0,I19^4/H19),0)</f>
        <v>0</v>
      </c>
    </row>
    <row r="20" customFormat="false" ht="15" hidden="false" customHeight="false" outlineLevel="0" collapsed="false">
      <c r="A20" s="2"/>
      <c r="B20" s="3"/>
      <c r="C20" s="4"/>
      <c r="D20" s="2"/>
      <c r="E20" s="5" t="str">
        <f aca="false">IF(D20="","",IF(D20="normal_u",1,IF(D20="normal_U_k2",2,IF(D20="rectangular",SQRT(3),IF(D20="triangular",SQRT(6),IF(D20="arcoseno",SQRT(2),""))))))</f>
        <v/>
      </c>
      <c r="F20" s="5" t="str">
        <f aca="false">IFERROR(IF(OR(C20="",E20=""),"",C20/E20),"")</f>
        <v/>
      </c>
      <c r="G20" s="4"/>
      <c r="H20" s="4"/>
      <c r="I20" s="5" t="str">
        <f aca="false">IFERROR(IF(OR(F20="",G20=""),"",ABS(G20)*F20),"")</f>
        <v/>
      </c>
      <c r="J20" s="6" t="str">
        <f aca="false">IFERROR(IF(I20="","",100*I20^2/$B$24^2),"")</f>
        <v/>
      </c>
      <c r="K20" s="7" t="str">
        <f aca="false">IF(J20="","",RANK(J20,$J$2:$J$21,0))</f>
        <v/>
      </c>
      <c r="L20" s="0" t="n">
        <f aca="false">IFERROR(IF(H20="",0,I20^4/H20),0)</f>
        <v>0</v>
      </c>
    </row>
    <row r="21" customFormat="false" ht="15" hidden="false" customHeight="false" outlineLevel="0" collapsed="false">
      <c r="A21" s="2"/>
      <c r="B21" s="3"/>
      <c r="C21" s="4"/>
      <c r="D21" s="2"/>
      <c r="E21" s="5" t="str">
        <f aca="false">IF(D21="","",IF(D21="normal_u",1,IF(D21="normal_U_k2",2,IF(D21="rectangular",SQRT(3),IF(D21="triangular",SQRT(6),IF(D21="arcoseno",SQRT(2),""))))))</f>
        <v/>
      </c>
      <c r="F21" s="5" t="str">
        <f aca="false">IFERROR(IF(OR(C21="",E21=""),"",C21/E21),"")</f>
        <v/>
      </c>
      <c r="G21" s="4"/>
      <c r="H21" s="4"/>
      <c r="I21" s="5" t="str">
        <f aca="false">IFERROR(IF(OR(F21="",G21=""),"",ABS(G21)*F21),"")</f>
        <v/>
      </c>
      <c r="J21" s="6" t="str">
        <f aca="false">IFERROR(IF(I21="","",100*I21^2/$B$24^2),"")</f>
        <v/>
      </c>
      <c r="K21" s="7" t="str">
        <f aca="false">IF(J21="","",RANK(J21,$J$2:$J$21,0))</f>
        <v/>
      </c>
      <c r="L21" s="0" t="n">
        <f aca="false">IFERROR(IF(H21="",0,I21^4/H21),0)</f>
        <v>0</v>
      </c>
    </row>
    <row r="23" customFormat="false" ht="15" hidden="false" customHeight="false" outlineLevel="0" collapsed="false">
      <c r="A23" s="8" t="s">
        <v>11</v>
      </c>
      <c r="B23" s="9" t="n">
        <v>120</v>
      </c>
    </row>
    <row r="24" customFormat="false" ht="15" hidden="false" customHeight="false" outlineLevel="0" collapsed="false">
      <c r="A24" s="8" t="s">
        <v>12</v>
      </c>
      <c r="B24" s="10" t="n">
        <f aca="false">SQRT(SUMSQ(I2:I21))</f>
        <v>0</v>
      </c>
    </row>
    <row r="25" customFormat="false" ht="15" hidden="false" customHeight="false" outlineLevel="0" collapsed="false">
      <c r="A25" s="8" t="s">
        <v>13</v>
      </c>
      <c r="B25" s="10" t="str">
        <f aca="false">IFERROR(IF(SUM(L2:L21)=0,"",B24^4/SUM(L2:L21)),"")</f>
        <v/>
      </c>
    </row>
    <row r="26" customFormat="false" ht="15" hidden="false" customHeight="false" outlineLevel="0" collapsed="false">
      <c r="A26" s="8" t="s">
        <v>14</v>
      </c>
      <c r="B26" s="10" t="n">
        <f aca="false">IF(B25="",2,_xlfn.T.INV.2T(1-0.9545,B25))</f>
        <v>2</v>
      </c>
    </row>
    <row r="27" customFormat="false" ht="15" hidden="false" customHeight="false" outlineLevel="0" collapsed="false">
      <c r="A27" s="8" t="s">
        <v>15</v>
      </c>
      <c r="B27" s="10" t="n">
        <f aca="false">B26*B24</f>
        <v>0</v>
      </c>
    </row>
    <row r="28" customFormat="false" ht="15" hidden="false" customHeight="false" outlineLevel="0" collapsed="false">
      <c r="A28" s="8" t="s">
        <v>16</v>
      </c>
      <c r="B28" s="11" t="n">
        <f aca="false">IFERROR(100*B27/B23,"")</f>
        <v>0</v>
      </c>
    </row>
  </sheetData>
  <autoFilter ref="A1:K21"/>
  <conditionalFormatting sqref="J2:J21">
    <cfRule type="colorScale" priority="2">
      <colorScale>
        <cfvo type="min" val="0"/>
        <cfvo type="max" val="0"/>
        <color rgb="FFFFFFFF"/>
        <color rgb="FF63BE7B"/>
      </colorScale>
    </cfRule>
  </conditionalFormatting>
  <dataValidations count="1">
    <dataValidation allowBlank="true" error="Seleccione un PDF de la lista." errorStyle="stop" errorTitle="PDF no válido" operator="between" showDropDown="false" showErrorMessage="false" showInputMessage="false" sqref="D2:D21" type="list">
      <formula1>"normal_u,normal_U_k2,rectangular,triangular,arcoseno"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17</v>
      </c>
      <c r="B2" s="3" t="s">
        <v>18</v>
      </c>
      <c r="C2" s="4" t="n">
        <v>0.25</v>
      </c>
      <c r="D2" s="2" t="s">
        <v>19</v>
      </c>
      <c r="E2" s="5" t="n">
        <f aca="false">IF(D2="","",IF(D2="normal_u",1,IF(D2="normal_U_k2",2,IF(D2="rectangular",SQRT(3),IF(D2="triangular",SQRT(6),IF(D2="arcoseno",SQRT(2),""))))))</f>
        <v>1</v>
      </c>
      <c r="F2" s="5" t="n">
        <f aca="false">IFERROR(IF(OR(C2="",E2=""),"",C2/E2),"")</f>
        <v>0.25</v>
      </c>
      <c r="G2" s="4" t="n">
        <v>1</v>
      </c>
      <c r="H2" s="4"/>
      <c r="I2" s="5" t="n">
        <f aca="false">IFERROR(IF(OR(F2="",G2=""),"",ABS(G2)*F2),"")</f>
        <v>0.25</v>
      </c>
      <c r="J2" s="6" t="n">
        <f aca="false">IFERROR(IF(I2="","",100*I2^2/$B$24^2),"")</f>
        <v>2.04034996082528</v>
      </c>
      <c r="K2" s="7" t="n">
        <f aca="false">IF(J2="","",RANK(J2,$J$2:$J$21,0))</f>
        <v>5</v>
      </c>
      <c r="L2" s="0" t="n">
        <f aca="false">IFERROR(IF(H2="",0,I2^4/H2),0)</f>
        <v>0</v>
      </c>
    </row>
    <row r="3" customFormat="false" ht="15" hidden="false" customHeight="false" outlineLevel="0" collapsed="false">
      <c r="A3" s="2" t="s">
        <v>20</v>
      </c>
      <c r="B3" s="3" t="s">
        <v>21</v>
      </c>
      <c r="C3" s="4" t="n">
        <v>1</v>
      </c>
      <c r="D3" s="2" t="s">
        <v>22</v>
      </c>
      <c r="E3" s="5" t="n">
        <f aca="false">IF(D3="","",IF(D3="normal_u",1,IF(D3="normal_U_k2",2,IF(D3="rectangular",SQRT(3),IF(D3="triangular",SQRT(6),IF(D3="arcoseno",SQRT(2),""))))))</f>
        <v>1.73205080756888</v>
      </c>
      <c r="F3" s="5" t="n">
        <f aca="false">IFERROR(IF(OR(C3="",E3=""),"",C3/E3),"")</f>
        <v>0.577350269189626</v>
      </c>
      <c r="G3" s="4" t="n">
        <v>1</v>
      </c>
      <c r="H3" s="4"/>
      <c r="I3" s="5" t="n">
        <f aca="false">IFERROR(IF(OR(F3="",G3=""),"",ABS(G3)*F3),"")</f>
        <v>0.577350269189626</v>
      </c>
      <c r="J3" s="6" t="n">
        <f aca="false">IFERROR(IF(I3="","",100*I3^2/$B$24^2),"")</f>
        <v>10.8818664577348</v>
      </c>
      <c r="K3" s="7" t="n">
        <f aca="false">IF(J3="","",RANK(J3,$J$2:$J$21,0))</f>
        <v>4</v>
      </c>
      <c r="L3" s="0" t="n">
        <f aca="false">IFERROR(IF(H3="",0,I3^4/H3),0)</f>
        <v>0</v>
      </c>
    </row>
    <row r="4" customFormat="false" ht="15" hidden="false" customHeight="false" outlineLevel="0" collapsed="false">
      <c r="A4" s="2" t="s">
        <v>23</v>
      </c>
      <c r="B4" s="3" t="s">
        <v>24</v>
      </c>
      <c r="C4" s="4" t="n">
        <v>1.2</v>
      </c>
      <c r="D4" s="2" t="s">
        <v>22</v>
      </c>
      <c r="E4" s="5" t="n">
        <f aca="false">IF(D4="","",IF(D4="normal_u",1,IF(D4="normal_U_k2",2,IF(D4="rectangular",SQRT(3),IF(D4="triangular",SQRT(6),IF(D4="arcoseno",SQRT(2),""))))))</f>
        <v>1.73205080756888</v>
      </c>
      <c r="F4" s="5" t="n">
        <f aca="false">IFERROR(IF(OR(C4="",E4=""),"",C4/E4),"")</f>
        <v>0.692820323027551</v>
      </c>
      <c r="G4" s="4" t="n">
        <v>1</v>
      </c>
      <c r="H4" s="4"/>
      <c r="I4" s="5" t="n">
        <f aca="false">IFERROR(IF(OR(F4="",G4=""),"",ABS(G4)*F4),"")</f>
        <v>0.692820323027551</v>
      </c>
      <c r="J4" s="6" t="n">
        <f aca="false">IFERROR(IF(I4="","",100*I4^2/$B$24^2),"")</f>
        <v>15.6698876991382</v>
      </c>
      <c r="K4" s="7" t="n">
        <f aca="false">IF(J4="","",RANK(J4,$J$2:$J$21,0))</f>
        <v>3</v>
      </c>
      <c r="L4" s="0" t="n">
        <f aca="false">IFERROR(IF(H4="",0,I4^4/H4),0)</f>
        <v>0</v>
      </c>
    </row>
    <row r="5" customFormat="false" ht="15" hidden="false" customHeight="false" outlineLevel="0" collapsed="false">
      <c r="A5" s="2" t="s">
        <v>25</v>
      </c>
      <c r="B5" s="3" t="s">
        <v>26</v>
      </c>
      <c r="C5" s="4" t="n">
        <v>2</v>
      </c>
      <c r="D5" s="2" t="s">
        <v>22</v>
      </c>
      <c r="E5" s="5" t="n">
        <f aca="false">IF(D5="","",IF(D5="normal_u",1,IF(D5="normal_U_k2",2,IF(D5="rectangular",SQRT(3),IF(D5="triangular",SQRT(6),IF(D5="arcoseno",SQRT(2),""))))))</f>
        <v>1.73205080756888</v>
      </c>
      <c r="F5" s="5" t="n">
        <f aca="false">IFERROR(IF(OR(C5="",E5=""),"",C5/E5),"")</f>
        <v>1.15470053837925</v>
      </c>
      <c r="G5" s="4" t="n">
        <v>1</v>
      </c>
      <c r="H5" s="4"/>
      <c r="I5" s="5" t="n">
        <f aca="false">IFERROR(IF(OR(F5="",G5=""),"",ABS(G5)*F5),"")</f>
        <v>1.15470053837925</v>
      </c>
      <c r="J5" s="6" t="n">
        <f aca="false">IFERROR(IF(I5="","",100*I5^2/$B$24^2),"")</f>
        <v>43.5274658309393</v>
      </c>
      <c r="K5" s="7" t="n">
        <f aca="false">IF(J5="","",RANK(J5,$J$2:$J$21,0))</f>
        <v>1</v>
      </c>
      <c r="L5" s="0" t="n">
        <f aca="false">IFERROR(IF(H5="",0,I5^4/H5),0)</f>
        <v>0</v>
      </c>
    </row>
    <row r="6" customFormat="false" ht="15" hidden="false" customHeight="false" outlineLevel="0" collapsed="false">
      <c r="A6" s="2" t="s">
        <v>27</v>
      </c>
      <c r="B6" s="3" t="s">
        <v>28</v>
      </c>
      <c r="C6" s="4" t="n">
        <v>0.36</v>
      </c>
      <c r="D6" s="2" t="s">
        <v>22</v>
      </c>
      <c r="E6" s="5" t="n">
        <f aca="false">IF(D6="","",IF(D6="normal_u",1,IF(D6="normal_U_k2",2,IF(D6="rectangular",SQRT(3),IF(D6="triangular",SQRT(6),IF(D6="arcoseno",SQRT(2),""))))))</f>
        <v>1.73205080756888</v>
      </c>
      <c r="F6" s="5" t="n">
        <f aca="false">IFERROR(IF(OR(C6="",E6=""),"",C6/E6),"")</f>
        <v>0.207846096908265</v>
      </c>
      <c r="G6" s="4" t="n">
        <v>1</v>
      </c>
      <c r="H6" s="4"/>
      <c r="I6" s="5" t="n">
        <f aca="false">IFERROR(IF(OR(F6="",G6=""),"",ABS(G6)*F6),"")</f>
        <v>0.207846096908265</v>
      </c>
      <c r="J6" s="6" t="n">
        <f aca="false">IFERROR(IF(I6="","",100*I6^2/$B$24^2),"")</f>
        <v>1.41028989292243</v>
      </c>
      <c r="K6" s="7" t="n">
        <f aca="false">IF(J6="","",RANK(J6,$J$2:$J$21,0))</f>
        <v>6</v>
      </c>
      <c r="L6" s="0" t="n">
        <f aca="false">IFERROR(IF(H6="",0,I6^4/H6),0)</f>
        <v>0</v>
      </c>
    </row>
    <row r="7" customFormat="false" ht="15" hidden="false" customHeight="false" outlineLevel="0" collapsed="false">
      <c r="A7" s="2" t="s">
        <v>29</v>
      </c>
      <c r="B7" s="3" t="s">
        <v>30</v>
      </c>
      <c r="C7" s="4" t="n">
        <v>0.05</v>
      </c>
      <c r="D7" s="2" t="s">
        <v>22</v>
      </c>
      <c r="E7" s="5" t="n">
        <f aca="false">IF(D7="","",IF(D7="normal_u",1,IF(D7="normal_U_k2",2,IF(D7="rectangular",SQRT(3),IF(D7="triangular",SQRT(6),IF(D7="arcoseno",SQRT(2),""))))))</f>
        <v>1.73205080756888</v>
      </c>
      <c r="F7" s="5" t="n">
        <f aca="false">IFERROR(IF(OR(C7="",E7=""),"",C7/E7),"")</f>
        <v>0.0288675134594813</v>
      </c>
      <c r="G7" s="4" t="n">
        <v>1</v>
      </c>
      <c r="H7" s="4"/>
      <c r="I7" s="5" t="n">
        <f aca="false">IFERROR(IF(OR(F7="",G7=""),"",ABS(G7)*F7),"")</f>
        <v>0.0288675134594813</v>
      </c>
      <c r="J7" s="6" t="n">
        <f aca="false">IFERROR(IF(I7="","",100*I7^2/$B$24^2),"")</f>
        <v>0.0272046661443371</v>
      </c>
      <c r="K7" s="7" t="n">
        <f aca="false">IF(J7="","",RANK(J7,$J$2:$J$21,0))</f>
        <v>7</v>
      </c>
      <c r="L7" s="0" t="n">
        <f aca="false">IFERROR(IF(H7="",0,I7^4/H7),0)</f>
        <v>0</v>
      </c>
    </row>
    <row r="8" customFormat="false" ht="15" hidden="false" customHeight="false" outlineLevel="0" collapsed="false">
      <c r="A8" s="2" t="s">
        <v>31</v>
      </c>
      <c r="B8" s="3" t="s">
        <v>32</v>
      </c>
      <c r="C8" s="4" t="n">
        <v>1.8</v>
      </c>
      <c r="D8" s="2" t="s">
        <v>33</v>
      </c>
      <c r="E8" s="5" t="n">
        <f aca="false">IF(D8="","",IF(D8="normal_u",1,IF(D8="normal_U_k2",2,IF(D8="rectangular",SQRT(3),IF(D8="triangular",SQRT(6),IF(D8="arcoseno",SQRT(2),""))))))</f>
        <v>2</v>
      </c>
      <c r="F8" s="5" t="n">
        <f aca="false">IFERROR(IF(OR(C8="",E8=""),"",C8/E8),"")</f>
        <v>0.9</v>
      </c>
      <c r="G8" s="4" t="n">
        <v>1</v>
      </c>
      <c r="H8" s="4"/>
      <c r="I8" s="5" t="n">
        <f aca="false">IFERROR(IF(OR(F8="",G8=""),"",ABS(G8)*F8),"")</f>
        <v>0.9</v>
      </c>
      <c r="J8" s="6" t="n">
        <f aca="false">IFERROR(IF(I8="","",100*I8^2/$B$24^2),"")</f>
        <v>26.4429354922956</v>
      </c>
      <c r="K8" s="7" t="n">
        <f aca="false">IF(J8="","",RANK(J8,$J$2:$J$21,0))</f>
        <v>2</v>
      </c>
      <c r="L8" s="0" t="n">
        <f aca="false">IFERROR(IF(H8="",0,I8^4/H8),0)</f>
        <v>0</v>
      </c>
    </row>
    <row r="9" customFormat="false" ht="15" hidden="false" customHeight="false" outlineLevel="0" collapsed="false">
      <c r="A9" s="2"/>
      <c r="B9" s="3"/>
      <c r="C9" s="4"/>
      <c r="D9" s="2"/>
      <c r="E9" s="5" t="str">
        <f aca="false">IF(D9="","",IF(D9="normal_u",1,IF(D9="normal_U_k2",2,IF(D9="rectangular",SQRT(3),IF(D9="triangular",SQRT(6),IF(D9="arcoseno",SQRT(2),""))))))</f>
        <v/>
      </c>
      <c r="F9" s="5" t="str">
        <f aca="false">IFERROR(IF(OR(C9="",E9=""),"",C9/E9),"")</f>
        <v/>
      </c>
      <c r="G9" s="4"/>
      <c r="H9" s="4"/>
      <c r="I9" s="5" t="str">
        <f aca="false">IFERROR(IF(OR(F9="",G9=""),"",ABS(G9)*F9),"")</f>
        <v/>
      </c>
      <c r="J9" s="6" t="str">
        <f aca="false">IFERROR(IF(I9="","",100*I9^2/$B$24^2),"")</f>
        <v/>
      </c>
      <c r="K9" s="7" t="str">
        <f aca="false">IF(J9="","",RANK(J9,$J$2:$J$21,0))</f>
        <v/>
      </c>
      <c r="L9" s="0" t="n">
        <f aca="false">IFERROR(IF(H9="",0,I9^4/H9),0)</f>
        <v>0</v>
      </c>
    </row>
    <row r="10" customFormat="false" ht="15" hidden="false" customHeight="false" outlineLevel="0" collapsed="false">
      <c r="A10" s="2"/>
      <c r="B10" s="3"/>
      <c r="C10" s="4"/>
      <c r="D10" s="2"/>
      <c r="E10" s="5" t="str">
        <f aca="false">IF(D10="","",IF(D10="normal_u",1,IF(D10="normal_U_k2",2,IF(D10="rectangular",SQRT(3),IF(D10="triangular",SQRT(6),IF(D10="arcoseno",SQRT(2),""))))))</f>
        <v/>
      </c>
      <c r="F10" s="5" t="str">
        <f aca="false">IFERROR(IF(OR(C10="",E10=""),"",C10/E10),"")</f>
        <v/>
      </c>
      <c r="G10" s="4"/>
      <c r="H10" s="4"/>
      <c r="I10" s="5" t="str">
        <f aca="false">IFERROR(IF(OR(F10="",G10=""),"",ABS(G10)*F10),"")</f>
        <v/>
      </c>
      <c r="J10" s="6" t="str">
        <f aca="false">IFERROR(IF(I10="","",100*I10^2/$B$24^2),"")</f>
        <v/>
      </c>
      <c r="K10" s="7" t="str">
        <f aca="false">IF(J10="","",RANK(J10,$J$2:$J$21,0))</f>
        <v/>
      </c>
      <c r="L10" s="0" t="n">
        <f aca="false">IFERROR(IF(H10="",0,I10^4/H10),0)</f>
        <v>0</v>
      </c>
    </row>
    <row r="11" customFormat="false" ht="15" hidden="false" customHeight="false" outlineLevel="0" collapsed="false">
      <c r="A11" s="2"/>
      <c r="B11" s="3"/>
      <c r="C11" s="4"/>
      <c r="D11" s="2"/>
      <c r="E11" s="5" t="str">
        <f aca="false">IF(D11="","",IF(D11="normal_u",1,IF(D11="normal_U_k2",2,IF(D11="rectangular",SQRT(3),IF(D11="triangular",SQRT(6),IF(D11="arcoseno",SQRT(2),""))))))</f>
        <v/>
      </c>
      <c r="F11" s="5" t="str">
        <f aca="false">IFERROR(IF(OR(C11="",E11=""),"",C11/E11),"")</f>
        <v/>
      </c>
      <c r="G11" s="4"/>
      <c r="H11" s="4"/>
      <c r="I11" s="5" t="str">
        <f aca="false">IFERROR(IF(OR(F11="",G11=""),"",ABS(G11)*F11),"")</f>
        <v/>
      </c>
      <c r="J11" s="6" t="str">
        <f aca="false">IFERROR(IF(I11="","",100*I11^2/$B$24^2),"")</f>
        <v/>
      </c>
      <c r="K11" s="7" t="str">
        <f aca="false">IF(J11="","",RANK(J11,$J$2:$J$21,0))</f>
        <v/>
      </c>
      <c r="L11" s="0" t="n">
        <f aca="false">IFERROR(IF(H11="",0,I11^4/H11),0)</f>
        <v>0</v>
      </c>
    </row>
    <row r="12" customFormat="false" ht="15" hidden="false" customHeight="false" outlineLevel="0" collapsed="false">
      <c r="A12" s="2"/>
      <c r="B12" s="3"/>
      <c r="C12" s="4"/>
      <c r="D12" s="2"/>
      <c r="E12" s="5" t="str">
        <f aca="false">IF(D12="","",IF(D12="normal_u",1,IF(D12="normal_U_k2",2,IF(D12="rectangular",SQRT(3),IF(D12="triangular",SQRT(6),IF(D12="arcoseno",SQRT(2),""))))))</f>
        <v/>
      </c>
      <c r="F12" s="5" t="str">
        <f aca="false">IFERROR(IF(OR(C12="",E12=""),"",C12/E12),"")</f>
        <v/>
      </c>
      <c r="G12" s="4"/>
      <c r="H12" s="4"/>
      <c r="I12" s="5" t="str">
        <f aca="false">IFERROR(IF(OR(F12="",G12=""),"",ABS(G12)*F12),"")</f>
        <v/>
      </c>
      <c r="J12" s="6" t="str">
        <f aca="false">IFERROR(IF(I12="","",100*I12^2/$B$24^2),"")</f>
        <v/>
      </c>
      <c r="K12" s="7" t="str">
        <f aca="false">IF(J12="","",RANK(J12,$J$2:$J$21,0))</f>
        <v/>
      </c>
      <c r="L12" s="0" t="n">
        <f aca="false">IFERROR(IF(H12="",0,I12^4/H12),0)</f>
        <v>0</v>
      </c>
    </row>
    <row r="13" customFormat="false" ht="15" hidden="false" customHeight="false" outlineLevel="0" collapsed="false">
      <c r="A13" s="2"/>
      <c r="B13" s="3"/>
      <c r="C13" s="4"/>
      <c r="D13" s="2"/>
      <c r="E13" s="5" t="str">
        <f aca="false">IF(D13="","",IF(D13="normal_u",1,IF(D13="normal_U_k2",2,IF(D13="rectangular",SQRT(3),IF(D13="triangular",SQRT(6),IF(D13="arcoseno",SQRT(2),""))))))</f>
        <v/>
      </c>
      <c r="F13" s="5" t="str">
        <f aca="false">IFERROR(IF(OR(C13="",E13=""),"",C13/E13),"")</f>
        <v/>
      </c>
      <c r="G13" s="4"/>
      <c r="H13" s="4"/>
      <c r="I13" s="5" t="str">
        <f aca="false">IFERROR(IF(OR(F13="",G13=""),"",ABS(G13)*F13),"")</f>
        <v/>
      </c>
      <c r="J13" s="6" t="str">
        <f aca="false">IFERROR(IF(I13="","",100*I13^2/$B$24^2),"")</f>
        <v/>
      </c>
      <c r="K13" s="7" t="str">
        <f aca="false">IF(J13="","",RANK(J13,$J$2:$J$21,0))</f>
        <v/>
      </c>
      <c r="L13" s="0" t="n">
        <f aca="false">IFERROR(IF(H13="",0,I13^4/H13),0)</f>
        <v>0</v>
      </c>
    </row>
    <row r="14" customFormat="false" ht="15" hidden="false" customHeight="false" outlineLevel="0" collapsed="false">
      <c r="A14" s="2"/>
      <c r="B14" s="3"/>
      <c r="C14" s="4"/>
      <c r="D14" s="2"/>
      <c r="E14" s="5" t="str">
        <f aca="false">IF(D14="","",IF(D14="normal_u",1,IF(D14="normal_U_k2",2,IF(D14="rectangular",SQRT(3),IF(D14="triangular",SQRT(6),IF(D14="arcoseno",SQRT(2),""))))))</f>
        <v/>
      </c>
      <c r="F14" s="5" t="str">
        <f aca="false">IFERROR(IF(OR(C14="",E14=""),"",C14/E14),"")</f>
        <v/>
      </c>
      <c r="G14" s="4"/>
      <c r="H14" s="4"/>
      <c r="I14" s="5" t="str">
        <f aca="false">IFERROR(IF(OR(F14="",G14=""),"",ABS(G14)*F14),"")</f>
        <v/>
      </c>
      <c r="J14" s="6" t="str">
        <f aca="false">IFERROR(IF(I14="","",100*I14^2/$B$24^2),"")</f>
        <v/>
      </c>
      <c r="K14" s="7" t="str">
        <f aca="false">IF(J14="","",RANK(J14,$J$2:$J$21,0))</f>
        <v/>
      </c>
      <c r="L14" s="0" t="n">
        <f aca="false">IFERROR(IF(H14="",0,I14^4/H14),0)</f>
        <v>0</v>
      </c>
    </row>
    <row r="15" customFormat="false" ht="15" hidden="false" customHeight="false" outlineLevel="0" collapsed="false">
      <c r="A15" s="2"/>
      <c r="B15" s="3"/>
      <c r="C15" s="4"/>
      <c r="D15" s="2"/>
      <c r="E15" s="5" t="str">
        <f aca="false">IF(D15="","",IF(D15="normal_u",1,IF(D15="normal_U_k2",2,IF(D15="rectangular",SQRT(3),IF(D15="triangular",SQRT(6),IF(D15="arcoseno",SQRT(2),""))))))</f>
        <v/>
      </c>
      <c r="F15" s="5" t="str">
        <f aca="false">IFERROR(IF(OR(C15="",E15=""),"",C15/E15),"")</f>
        <v/>
      </c>
      <c r="G15" s="4"/>
      <c r="H15" s="4"/>
      <c r="I15" s="5" t="str">
        <f aca="false">IFERROR(IF(OR(F15="",G15=""),"",ABS(G15)*F15),"")</f>
        <v/>
      </c>
      <c r="J15" s="6" t="str">
        <f aca="false">IFERROR(IF(I15="","",100*I15^2/$B$24^2),"")</f>
        <v/>
      </c>
      <c r="K15" s="7" t="str">
        <f aca="false">IF(J15="","",RANK(J15,$J$2:$J$21,0))</f>
        <v/>
      </c>
      <c r="L15" s="0" t="n">
        <f aca="false">IFERROR(IF(H15="",0,I15^4/H15),0)</f>
        <v>0</v>
      </c>
    </row>
    <row r="16" customFormat="false" ht="15" hidden="false" customHeight="false" outlineLevel="0" collapsed="false">
      <c r="A16" s="2"/>
      <c r="B16" s="3"/>
      <c r="C16" s="4"/>
      <c r="D16" s="2"/>
      <c r="E16" s="5" t="str">
        <f aca="false">IF(D16="","",IF(D16="normal_u",1,IF(D16="normal_U_k2",2,IF(D16="rectangular",SQRT(3),IF(D16="triangular",SQRT(6),IF(D16="arcoseno",SQRT(2),""))))))</f>
        <v/>
      </c>
      <c r="F16" s="5" t="str">
        <f aca="false">IFERROR(IF(OR(C16="",E16=""),"",C16/E16),"")</f>
        <v/>
      </c>
      <c r="G16" s="4"/>
      <c r="H16" s="4"/>
      <c r="I16" s="5" t="str">
        <f aca="false">IFERROR(IF(OR(F16="",G16=""),"",ABS(G16)*F16),"")</f>
        <v/>
      </c>
      <c r="J16" s="6" t="str">
        <f aca="false">IFERROR(IF(I16="","",100*I16^2/$B$24^2),"")</f>
        <v/>
      </c>
      <c r="K16" s="7" t="str">
        <f aca="false">IF(J16="","",RANK(J16,$J$2:$J$21,0))</f>
        <v/>
      </c>
      <c r="L16" s="0" t="n">
        <f aca="false">IFERROR(IF(H16="",0,I16^4/H16),0)</f>
        <v>0</v>
      </c>
    </row>
    <row r="17" customFormat="false" ht="15" hidden="false" customHeight="false" outlineLevel="0" collapsed="false">
      <c r="A17" s="2"/>
      <c r="B17" s="3"/>
      <c r="C17" s="4"/>
      <c r="D17" s="2"/>
      <c r="E17" s="5" t="str">
        <f aca="false">IF(D17="","",IF(D17="normal_u",1,IF(D17="normal_U_k2",2,IF(D17="rectangular",SQRT(3),IF(D17="triangular",SQRT(6),IF(D17="arcoseno",SQRT(2),""))))))</f>
        <v/>
      </c>
      <c r="F17" s="5" t="str">
        <f aca="false">IFERROR(IF(OR(C17="",E17=""),"",C17/E17),"")</f>
        <v/>
      </c>
      <c r="G17" s="4"/>
      <c r="H17" s="4"/>
      <c r="I17" s="5" t="str">
        <f aca="false">IFERROR(IF(OR(F17="",G17=""),"",ABS(G17)*F17),"")</f>
        <v/>
      </c>
      <c r="J17" s="6" t="str">
        <f aca="false">IFERROR(IF(I17="","",100*I17^2/$B$24^2),"")</f>
        <v/>
      </c>
      <c r="K17" s="7" t="str">
        <f aca="false">IF(J17="","",RANK(J17,$J$2:$J$21,0))</f>
        <v/>
      </c>
      <c r="L17" s="0" t="n">
        <f aca="false">IFERROR(IF(H17="",0,I17^4/H17),0)</f>
        <v>0</v>
      </c>
    </row>
    <row r="18" customFormat="false" ht="15" hidden="false" customHeight="false" outlineLevel="0" collapsed="false">
      <c r="A18" s="2"/>
      <c r="B18" s="3"/>
      <c r="C18" s="4"/>
      <c r="D18" s="2"/>
      <c r="E18" s="5" t="str">
        <f aca="false">IF(D18="","",IF(D18="normal_u",1,IF(D18="normal_U_k2",2,IF(D18="rectangular",SQRT(3),IF(D18="triangular",SQRT(6),IF(D18="arcoseno",SQRT(2),""))))))</f>
        <v/>
      </c>
      <c r="F18" s="5" t="str">
        <f aca="false">IFERROR(IF(OR(C18="",E18=""),"",C18/E18),"")</f>
        <v/>
      </c>
      <c r="G18" s="4"/>
      <c r="H18" s="4"/>
      <c r="I18" s="5" t="str">
        <f aca="false">IFERROR(IF(OR(F18="",G18=""),"",ABS(G18)*F18),"")</f>
        <v/>
      </c>
      <c r="J18" s="6" t="str">
        <f aca="false">IFERROR(IF(I18="","",100*I18^2/$B$24^2),"")</f>
        <v/>
      </c>
      <c r="K18" s="7" t="str">
        <f aca="false">IF(J18="","",RANK(J18,$J$2:$J$21,0))</f>
        <v/>
      </c>
      <c r="L18" s="0" t="n">
        <f aca="false">IFERROR(IF(H18="",0,I18^4/H18),0)</f>
        <v>0</v>
      </c>
    </row>
    <row r="19" customFormat="false" ht="15" hidden="false" customHeight="false" outlineLevel="0" collapsed="false">
      <c r="A19" s="2"/>
      <c r="B19" s="3"/>
      <c r="C19" s="4"/>
      <c r="D19" s="2"/>
      <c r="E19" s="5" t="str">
        <f aca="false">IF(D19="","",IF(D19="normal_u",1,IF(D19="normal_U_k2",2,IF(D19="rectangular",SQRT(3),IF(D19="triangular",SQRT(6),IF(D19="arcoseno",SQRT(2),""))))))</f>
        <v/>
      </c>
      <c r="F19" s="5" t="str">
        <f aca="false">IFERROR(IF(OR(C19="",E19=""),"",C19/E19),"")</f>
        <v/>
      </c>
      <c r="G19" s="4"/>
      <c r="H19" s="4"/>
      <c r="I19" s="5" t="str">
        <f aca="false">IFERROR(IF(OR(F19="",G19=""),"",ABS(G19)*F19),"")</f>
        <v/>
      </c>
      <c r="J19" s="6" t="str">
        <f aca="false">IFERROR(IF(I19="","",100*I19^2/$B$24^2),"")</f>
        <v/>
      </c>
      <c r="K19" s="7" t="str">
        <f aca="false">IF(J19="","",RANK(J19,$J$2:$J$21,0))</f>
        <v/>
      </c>
      <c r="L19" s="0" t="n">
        <f aca="false">IFERROR(IF(H19="",0,I19^4/H19),0)</f>
        <v>0</v>
      </c>
    </row>
    <row r="20" customFormat="false" ht="15" hidden="false" customHeight="false" outlineLevel="0" collapsed="false">
      <c r="A20" s="2"/>
      <c r="B20" s="3"/>
      <c r="C20" s="4"/>
      <c r="D20" s="2"/>
      <c r="E20" s="5" t="str">
        <f aca="false">IF(D20="","",IF(D20="normal_u",1,IF(D20="normal_U_k2",2,IF(D20="rectangular",SQRT(3),IF(D20="triangular",SQRT(6),IF(D20="arcoseno",SQRT(2),""))))))</f>
        <v/>
      </c>
      <c r="F20" s="5" t="str">
        <f aca="false">IFERROR(IF(OR(C20="",E20=""),"",C20/E20),"")</f>
        <v/>
      </c>
      <c r="G20" s="4"/>
      <c r="H20" s="4"/>
      <c r="I20" s="5" t="str">
        <f aca="false">IFERROR(IF(OR(F20="",G20=""),"",ABS(G20)*F20),"")</f>
        <v/>
      </c>
      <c r="J20" s="6" t="str">
        <f aca="false">IFERROR(IF(I20="","",100*I20^2/$B$24^2),"")</f>
        <v/>
      </c>
      <c r="K20" s="7" t="str">
        <f aca="false">IF(J20="","",RANK(J20,$J$2:$J$21,0))</f>
        <v/>
      </c>
      <c r="L20" s="0" t="n">
        <f aca="false">IFERROR(IF(H20="",0,I20^4/H20),0)</f>
        <v>0</v>
      </c>
    </row>
    <row r="21" customFormat="false" ht="15" hidden="false" customHeight="false" outlineLevel="0" collapsed="false">
      <c r="A21" s="2"/>
      <c r="B21" s="3"/>
      <c r="C21" s="4"/>
      <c r="D21" s="2"/>
      <c r="E21" s="5" t="str">
        <f aca="false">IF(D21="","",IF(D21="normal_u",1,IF(D21="normal_U_k2",2,IF(D21="rectangular",SQRT(3),IF(D21="triangular",SQRT(6),IF(D21="arcoseno",SQRT(2),""))))))</f>
        <v/>
      </c>
      <c r="F21" s="5" t="str">
        <f aca="false">IFERROR(IF(OR(C21="",E21=""),"",C21/E21),"")</f>
        <v/>
      </c>
      <c r="G21" s="4"/>
      <c r="H21" s="4"/>
      <c r="I21" s="5" t="str">
        <f aca="false">IFERROR(IF(OR(F21="",G21=""),"",ABS(G21)*F21),"")</f>
        <v/>
      </c>
      <c r="J21" s="6" t="str">
        <f aca="false">IFERROR(IF(I21="","",100*I21^2/$B$24^2),"")</f>
        <v/>
      </c>
      <c r="K21" s="7" t="str">
        <f aca="false">IF(J21="","",RANK(J21,$J$2:$J$21,0))</f>
        <v/>
      </c>
      <c r="L21" s="0" t="n">
        <f aca="false">IFERROR(IF(H21="",0,I21^4/H21),0)</f>
        <v>0</v>
      </c>
    </row>
    <row r="23" customFormat="false" ht="15" hidden="false" customHeight="false" outlineLevel="0" collapsed="false">
      <c r="A23" s="8" t="s">
        <v>34</v>
      </c>
      <c r="B23" s="9" t="n">
        <v>120</v>
      </c>
    </row>
    <row r="24" customFormat="false" ht="15" hidden="false" customHeight="false" outlineLevel="0" collapsed="false">
      <c r="A24" s="8" t="s">
        <v>35</v>
      </c>
      <c r="B24" s="10" t="n">
        <f aca="false">SQRT(SUMSQ(I2:I21))</f>
        <v>1.75019998857273</v>
      </c>
    </row>
    <row r="25" customFormat="false" ht="15" hidden="false" customHeight="false" outlineLevel="0" collapsed="false">
      <c r="A25" s="8" t="s">
        <v>13</v>
      </c>
      <c r="B25" s="10" t="str">
        <f aca="false">IFERROR(IF(SUM(L2:L21)=0,"",B24^4/SUM(L2:L21)),"")</f>
        <v/>
      </c>
    </row>
    <row r="26" customFormat="false" ht="15" hidden="false" customHeight="false" outlineLevel="0" collapsed="false">
      <c r="A26" s="8" t="s">
        <v>14</v>
      </c>
      <c r="B26" s="10" t="n">
        <f aca="false">IF(B25="",2,_xlfn.T.INV.2T(1-0.9545,B25))</f>
        <v>2</v>
      </c>
    </row>
    <row r="27" customFormat="false" ht="15" hidden="false" customHeight="false" outlineLevel="0" collapsed="false">
      <c r="A27" s="8" t="s">
        <v>36</v>
      </c>
      <c r="B27" s="10" t="n">
        <f aca="false">B26*B24</f>
        <v>3.50039997714547</v>
      </c>
    </row>
    <row r="28" customFormat="false" ht="15" hidden="false" customHeight="false" outlineLevel="0" collapsed="false">
      <c r="A28" s="8" t="s">
        <v>16</v>
      </c>
      <c r="B28" s="11" t="n">
        <f aca="false">IFERROR(100*B27/B23,"")</f>
        <v>2.91699998095456</v>
      </c>
    </row>
  </sheetData>
  <autoFilter ref="A1:K21"/>
  <conditionalFormatting sqref="J2:J21">
    <cfRule type="colorScale" priority="2">
      <colorScale>
        <cfvo type="min" val="0"/>
        <cfvo type="max" val="0"/>
        <color rgb="FFFFFFFF"/>
        <color rgb="FF63BE7B"/>
      </colorScale>
    </cfRule>
  </conditionalFormatting>
  <dataValidations count="1">
    <dataValidation allowBlank="true" error="Seleccione un PDF de la lista." errorStyle="stop" errorTitle="PDF no válido" operator="between" showDropDown="false" showErrorMessage="false" showInputMessage="false" sqref="D2:D21" type="list">
      <formula1>"normal_u,normal_U_k2,rectangular,triangular,arcoseno"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37</v>
      </c>
      <c r="B2" s="3" t="s">
        <v>38</v>
      </c>
      <c r="C2" s="4" t="n">
        <v>0.42</v>
      </c>
      <c r="D2" s="2" t="s">
        <v>19</v>
      </c>
      <c r="E2" s="5" t="n">
        <f aca="false">IF(D2="","",IF(D2="normal_u",1,IF(D2="normal_U_k2",2,IF(D2="rectangular",SQRT(3),IF(D2="triangular",SQRT(6),IF(D2="arcoseno",SQRT(2),""))))))</f>
        <v>1</v>
      </c>
      <c r="F2" s="5" t="n">
        <f aca="false">IFERROR(IF(OR(C2="",E2=""),"",C2/E2),"")</f>
        <v>0.42</v>
      </c>
      <c r="G2" s="4" t="n">
        <v>1</v>
      </c>
      <c r="H2" s="4" t="n">
        <v>2</v>
      </c>
      <c r="I2" s="5" t="n">
        <f aca="false">IFERROR(IF(OR(F2="",G2=""),"",ABS(G2)*F2),"")</f>
        <v>0.42</v>
      </c>
      <c r="J2" s="6" t="n">
        <f aca="false">IFERROR(IF(I2="","",100*I2^2/$B$24^2),"")</f>
        <v>13.8291478297227</v>
      </c>
      <c r="K2" s="7" t="n">
        <f aca="false">IF(J2="","",RANK(J2,$J$2:$J$21,0))</f>
        <v>3</v>
      </c>
      <c r="L2" s="0" t="n">
        <f aca="false">IFERROR(IF(H2="",0,I2^4/H2),0)</f>
        <v>0.01555848</v>
      </c>
    </row>
    <row r="3" customFormat="false" ht="15" hidden="false" customHeight="false" outlineLevel="0" collapsed="false">
      <c r="A3" s="2" t="s">
        <v>39</v>
      </c>
      <c r="B3" s="3" t="s">
        <v>40</v>
      </c>
      <c r="C3" s="4" t="n">
        <v>1.5</v>
      </c>
      <c r="D3" s="2" t="s">
        <v>33</v>
      </c>
      <c r="E3" s="5" t="n">
        <f aca="false">IF(D3="","",IF(D3="normal_u",1,IF(D3="normal_U_k2",2,IF(D3="rectangular",SQRT(3),IF(D3="triangular",SQRT(6),IF(D3="arcoseno",SQRT(2),""))))))</f>
        <v>2</v>
      </c>
      <c r="F3" s="5" t="n">
        <f aca="false">IFERROR(IF(OR(C3="",E3=""),"",C3/E3),"")</f>
        <v>0.75</v>
      </c>
      <c r="G3" s="4" t="n">
        <v>1</v>
      </c>
      <c r="H3" s="4"/>
      <c r="I3" s="5" t="n">
        <f aca="false">IFERROR(IF(OR(F3="",G3=""),"",ABS(G3)*F3),"")</f>
        <v>0.75</v>
      </c>
      <c r="J3" s="6" t="n">
        <f aca="false">IFERROR(IF(I3="","",100*I3^2/$B$24^2),"")</f>
        <v>44.0980479264118</v>
      </c>
      <c r="K3" s="7" t="n">
        <f aca="false">IF(J3="","",RANK(J3,$J$2:$J$21,0))</f>
        <v>1</v>
      </c>
      <c r="L3" s="0" t="n">
        <f aca="false">IFERROR(IF(H3="",0,I3^4/H3),0)</f>
        <v>0</v>
      </c>
    </row>
    <row r="4" customFormat="false" ht="15" hidden="false" customHeight="false" outlineLevel="0" collapsed="false">
      <c r="A4" s="2" t="s">
        <v>41</v>
      </c>
      <c r="B4" s="3" t="s">
        <v>42</v>
      </c>
      <c r="C4" s="4" t="n">
        <v>0.6</v>
      </c>
      <c r="D4" s="2" t="s">
        <v>22</v>
      </c>
      <c r="E4" s="5" t="n">
        <f aca="false">IF(D4="","",IF(D4="normal_u",1,IF(D4="normal_U_k2",2,IF(D4="rectangular",SQRT(3),IF(D4="triangular",SQRT(6),IF(D4="arcoseno",SQRT(2),""))))))</f>
        <v>1.73205080756888</v>
      </c>
      <c r="F4" s="5" t="n">
        <f aca="false">IFERROR(IF(OR(C4="",E4=""),"",C4/E4),"")</f>
        <v>0.346410161513775</v>
      </c>
      <c r="G4" s="4" t="n">
        <v>1</v>
      </c>
      <c r="H4" s="4"/>
      <c r="I4" s="5" t="n">
        <f aca="false">IFERROR(IF(OR(F4="",G4=""),"",ABS(G4)*F4),"")</f>
        <v>0.346410161513775</v>
      </c>
      <c r="J4" s="6" t="n">
        <f aca="false">IFERROR(IF(I4="","",100*I4^2/$B$24^2),"")</f>
        <v>9.40758355763451</v>
      </c>
      <c r="K4" s="7" t="n">
        <f aca="false">IF(J4="","",RANK(J4,$J$2:$J$21,0))</f>
        <v>4</v>
      </c>
      <c r="L4" s="0" t="n">
        <f aca="false">IFERROR(IF(H4="",0,I4^4/H4),0)</f>
        <v>0</v>
      </c>
    </row>
    <row r="5" customFormat="false" ht="15" hidden="false" customHeight="false" outlineLevel="0" collapsed="false">
      <c r="A5" s="2" t="s">
        <v>43</v>
      </c>
      <c r="B5" s="3" t="s">
        <v>44</v>
      </c>
      <c r="C5" s="4" t="n">
        <v>0.5</v>
      </c>
      <c r="D5" s="2" t="s">
        <v>22</v>
      </c>
      <c r="E5" s="5" t="n">
        <f aca="false">IF(D5="","",IF(D5="normal_u",1,IF(D5="normal_U_k2",2,IF(D5="rectangular",SQRT(3),IF(D5="triangular",SQRT(6),IF(D5="arcoseno",SQRT(2),""))))))</f>
        <v>1.73205080756888</v>
      </c>
      <c r="F5" s="5" t="n">
        <f aca="false">IFERROR(IF(OR(C5="",E5=""),"",C5/E5),"")</f>
        <v>0.288675134594813</v>
      </c>
      <c r="G5" s="4" t="n">
        <v>1</v>
      </c>
      <c r="H5" s="4"/>
      <c r="I5" s="5" t="n">
        <f aca="false">IFERROR(IF(OR(F5="",G5=""),"",ABS(G5)*F5),"")</f>
        <v>0.288675134594813</v>
      </c>
      <c r="J5" s="6" t="n">
        <f aca="false">IFERROR(IF(I5="","",100*I5^2/$B$24^2),"")</f>
        <v>6.53304413724619</v>
      </c>
      <c r="K5" s="7" t="n">
        <f aca="false">IF(J5="","",RANK(J5,$J$2:$J$21,0))</f>
        <v>5</v>
      </c>
      <c r="L5" s="0" t="n">
        <f aca="false">IFERROR(IF(H5="",0,I5^4/H5),0)</f>
        <v>0</v>
      </c>
    </row>
    <row r="6" customFormat="false" ht="15" hidden="false" customHeight="false" outlineLevel="0" collapsed="false">
      <c r="A6" s="2" t="s">
        <v>45</v>
      </c>
      <c r="B6" s="3" t="s">
        <v>46</v>
      </c>
      <c r="C6" s="4" t="n">
        <v>1</v>
      </c>
      <c r="D6" s="2" t="s">
        <v>22</v>
      </c>
      <c r="E6" s="5" t="n">
        <f aca="false">IF(D6="","",IF(D6="normal_u",1,IF(D6="normal_U_k2",2,IF(D6="rectangular",SQRT(3),IF(D6="triangular",SQRT(6),IF(D6="arcoseno",SQRT(2),""))))))</f>
        <v>1.73205080756888</v>
      </c>
      <c r="F6" s="5" t="n">
        <f aca="false">IFERROR(IF(OR(C6="",E6=""),"",C6/E6),"")</f>
        <v>0.577350269189626</v>
      </c>
      <c r="G6" s="4" t="n">
        <v>1</v>
      </c>
      <c r="H6" s="4"/>
      <c r="I6" s="5" t="n">
        <f aca="false">IFERROR(IF(OR(F6="",G6=""),"",ABS(G6)*F6),"")</f>
        <v>0.577350269189626</v>
      </c>
      <c r="J6" s="6" t="n">
        <f aca="false">IFERROR(IF(I6="","",100*I6^2/$B$24^2),"")</f>
        <v>26.1321765489848</v>
      </c>
      <c r="K6" s="7" t="n">
        <f aca="false">IF(J6="","",RANK(J6,$J$2:$J$21,0))</f>
        <v>2</v>
      </c>
      <c r="L6" s="0" t="n">
        <f aca="false">IFERROR(IF(H6="",0,I6^4/H6),0)</f>
        <v>0</v>
      </c>
    </row>
    <row r="7" customFormat="false" ht="15" hidden="false" customHeight="false" outlineLevel="0" collapsed="false">
      <c r="A7" s="2"/>
      <c r="B7" s="3"/>
      <c r="C7" s="4"/>
      <c r="D7" s="2"/>
      <c r="E7" s="5" t="str">
        <f aca="false">IF(D7="","",IF(D7="normal_u",1,IF(D7="normal_U_k2",2,IF(D7="rectangular",SQRT(3),IF(D7="triangular",SQRT(6),IF(D7="arcoseno",SQRT(2),""))))))</f>
        <v/>
      </c>
      <c r="F7" s="5" t="str">
        <f aca="false">IFERROR(IF(OR(C7="",E7=""),"",C7/E7),"")</f>
        <v/>
      </c>
      <c r="G7" s="4"/>
      <c r="H7" s="4"/>
      <c r="I7" s="5" t="str">
        <f aca="false">IFERROR(IF(OR(F7="",G7=""),"",ABS(G7)*F7),"")</f>
        <v/>
      </c>
      <c r="J7" s="6" t="str">
        <f aca="false">IFERROR(IF(I7="","",100*I7^2/$B$24^2),"")</f>
        <v/>
      </c>
      <c r="K7" s="7" t="str">
        <f aca="false">IF(J7="","",RANK(J7,$J$2:$J$21,0))</f>
        <v/>
      </c>
      <c r="L7" s="0" t="n">
        <f aca="false">IFERROR(IF(H7="",0,I7^4/H7),0)</f>
        <v>0</v>
      </c>
    </row>
    <row r="8" customFormat="false" ht="15" hidden="false" customHeight="false" outlineLevel="0" collapsed="false">
      <c r="A8" s="2"/>
      <c r="B8" s="3"/>
      <c r="C8" s="4"/>
      <c r="D8" s="2"/>
      <c r="E8" s="5" t="str">
        <f aca="false">IF(D8="","",IF(D8="normal_u",1,IF(D8="normal_U_k2",2,IF(D8="rectangular",SQRT(3),IF(D8="triangular",SQRT(6),IF(D8="arcoseno",SQRT(2),""))))))</f>
        <v/>
      </c>
      <c r="F8" s="5" t="str">
        <f aca="false">IFERROR(IF(OR(C8="",E8=""),"",C8/E8),"")</f>
        <v/>
      </c>
      <c r="G8" s="4"/>
      <c r="H8" s="4"/>
      <c r="I8" s="5" t="str">
        <f aca="false">IFERROR(IF(OR(F8="",G8=""),"",ABS(G8)*F8),"")</f>
        <v/>
      </c>
      <c r="J8" s="6" t="str">
        <f aca="false">IFERROR(IF(I8="","",100*I8^2/$B$24^2),"")</f>
        <v/>
      </c>
      <c r="K8" s="7" t="str">
        <f aca="false">IF(J8="","",RANK(J8,$J$2:$J$21,0))</f>
        <v/>
      </c>
      <c r="L8" s="0" t="n">
        <f aca="false">IFERROR(IF(H8="",0,I8^4/H8),0)</f>
        <v>0</v>
      </c>
    </row>
    <row r="9" customFormat="false" ht="15" hidden="false" customHeight="false" outlineLevel="0" collapsed="false">
      <c r="A9" s="2"/>
      <c r="B9" s="3"/>
      <c r="C9" s="4"/>
      <c r="D9" s="2"/>
      <c r="E9" s="5" t="str">
        <f aca="false">IF(D9="","",IF(D9="normal_u",1,IF(D9="normal_U_k2",2,IF(D9="rectangular",SQRT(3),IF(D9="triangular",SQRT(6),IF(D9="arcoseno",SQRT(2),""))))))</f>
        <v/>
      </c>
      <c r="F9" s="5" t="str">
        <f aca="false">IFERROR(IF(OR(C9="",E9=""),"",C9/E9),"")</f>
        <v/>
      </c>
      <c r="G9" s="4"/>
      <c r="H9" s="4"/>
      <c r="I9" s="5" t="str">
        <f aca="false">IFERROR(IF(OR(F9="",G9=""),"",ABS(G9)*F9),"")</f>
        <v/>
      </c>
      <c r="J9" s="6" t="str">
        <f aca="false">IFERROR(IF(I9="","",100*I9^2/$B$24^2),"")</f>
        <v/>
      </c>
      <c r="K9" s="7" t="str">
        <f aca="false">IF(J9="","",RANK(J9,$J$2:$J$21,0))</f>
        <v/>
      </c>
      <c r="L9" s="0" t="n">
        <f aca="false">IFERROR(IF(H9="",0,I9^4/H9),0)</f>
        <v>0</v>
      </c>
    </row>
    <row r="10" customFormat="false" ht="15" hidden="false" customHeight="false" outlineLevel="0" collapsed="false">
      <c r="A10" s="2"/>
      <c r="B10" s="3"/>
      <c r="C10" s="4"/>
      <c r="D10" s="2"/>
      <c r="E10" s="5" t="str">
        <f aca="false">IF(D10="","",IF(D10="normal_u",1,IF(D10="normal_U_k2",2,IF(D10="rectangular",SQRT(3),IF(D10="triangular",SQRT(6),IF(D10="arcoseno",SQRT(2),""))))))</f>
        <v/>
      </c>
      <c r="F10" s="5" t="str">
        <f aca="false">IFERROR(IF(OR(C10="",E10=""),"",C10/E10),"")</f>
        <v/>
      </c>
      <c r="G10" s="4"/>
      <c r="H10" s="4"/>
      <c r="I10" s="5" t="str">
        <f aca="false">IFERROR(IF(OR(F10="",G10=""),"",ABS(G10)*F10),"")</f>
        <v/>
      </c>
      <c r="J10" s="6" t="str">
        <f aca="false">IFERROR(IF(I10="","",100*I10^2/$B$24^2),"")</f>
        <v/>
      </c>
      <c r="K10" s="7" t="str">
        <f aca="false">IF(J10="","",RANK(J10,$J$2:$J$21,0))</f>
        <v/>
      </c>
      <c r="L10" s="0" t="n">
        <f aca="false">IFERROR(IF(H10="",0,I10^4/H10),0)</f>
        <v>0</v>
      </c>
    </row>
    <row r="11" customFormat="false" ht="15" hidden="false" customHeight="false" outlineLevel="0" collapsed="false">
      <c r="A11" s="2"/>
      <c r="B11" s="3"/>
      <c r="C11" s="4"/>
      <c r="D11" s="2"/>
      <c r="E11" s="5" t="str">
        <f aca="false">IF(D11="","",IF(D11="normal_u",1,IF(D11="normal_U_k2",2,IF(D11="rectangular",SQRT(3),IF(D11="triangular",SQRT(6),IF(D11="arcoseno",SQRT(2),""))))))</f>
        <v/>
      </c>
      <c r="F11" s="5" t="str">
        <f aca="false">IFERROR(IF(OR(C11="",E11=""),"",C11/E11),"")</f>
        <v/>
      </c>
      <c r="G11" s="4"/>
      <c r="H11" s="4"/>
      <c r="I11" s="5" t="str">
        <f aca="false">IFERROR(IF(OR(F11="",G11=""),"",ABS(G11)*F11),"")</f>
        <v/>
      </c>
      <c r="J11" s="6" t="str">
        <f aca="false">IFERROR(IF(I11="","",100*I11^2/$B$24^2),"")</f>
        <v/>
      </c>
      <c r="K11" s="7" t="str">
        <f aca="false">IF(J11="","",RANK(J11,$J$2:$J$21,0))</f>
        <v/>
      </c>
      <c r="L11" s="0" t="n">
        <f aca="false">IFERROR(IF(H11="",0,I11^4/H11),0)</f>
        <v>0</v>
      </c>
    </row>
    <row r="12" customFormat="false" ht="15" hidden="false" customHeight="false" outlineLevel="0" collapsed="false">
      <c r="A12" s="2"/>
      <c r="B12" s="3"/>
      <c r="C12" s="4"/>
      <c r="D12" s="2"/>
      <c r="E12" s="5" t="str">
        <f aca="false">IF(D12="","",IF(D12="normal_u",1,IF(D12="normal_U_k2",2,IF(D12="rectangular",SQRT(3),IF(D12="triangular",SQRT(6),IF(D12="arcoseno",SQRT(2),""))))))</f>
        <v/>
      </c>
      <c r="F12" s="5" t="str">
        <f aca="false">IFERROR(IF(OR(C12="",E12=""),"",C12/E12),"")</f>
        <v/>
      </c>
      <c r="G12" s="4"/>
      <c r="H12" s="4"/>
      <c r="I12" s="5" t="str">
        <f aca="false">IFERROR(IF(OR(F12="",G12=""),"",ABS(G12)*F12),"")</f>
        <v/>
      </c>
      <c r="J12" s="6" t="str">
        <f aca="false">IFERROR(IF(I12="","",100*I12^2/$B$24^2),"")</f>
        <v/>
      </c>
      <c r="K12" s="7" t="str">
        <f aca="false">IF(J12="","",RANK(J12,$J$2:$J$21,0))</f>
        <v/>
      </c>
      <c r="L12" s="0" t="n">
        <f aca="false">IFERROR(IF(H12="",0,I12^4/H12),0)</f>
        <v>0</v>
      </c>
    </row>
    <row r="13" customFormat="false" ht="15" hidden="false" customHeight="false" outlineLevel="0" collapsed="false">
      <c r="A13" s="2"/>
      <c r="B13" s="3"/>
      <c r="C13" s="4"/>
      <c r="D13" s="2"/>
      <c r="E13" s="5" t="str">
        <f aca="false">IF(D13="","",IF(D13="normal_u",1,IF(D13="normal_U_k2",2,IF(D13="rectangular",SQRT(3),IF(D13="triangular",SQRT(6),IF(D13="arcoseno",SQRT(2),""))))))</f>
        <v/>
      </c>
      <c r="F13" s="5" t="str">
        <f aca="false">IFERROR(IF(OR(C13="",E13=""),"",C13/E13),"")</f>
        <v/>
      </c>
      <c r="G13" s="4"/>
      <c r="H13" s="4"/>
      <c r="I13" s="5" t="str">
        <f aca="false">IFERROR(IF(OR(F13="",G13=""),"",ABS(G13)*F13),"")</f>
        <v/>
      </c>
      <c r="J13" s="6" t="str">
        <f aca="false">IFERROR(IF(I13="","",100*I13^2/$B$24^2),"")</f>
        <v/>
      </c>
      <c r="K13" s="7" t="str">
        <f aca="false">IF(J13="","",RANK(J13,$J$2:$J$21,0))</f>
        <v/>
      </c>
      <c r="L13" s="0" t="n">
        <f aca="false">IFERROR(IF(H13="",0,I13^4/H13),0)</f>
        <v>0</v>
      </c>
    </row>
    <row r="14" customFormat="false" ht="15" hidden="false" customHeight="false" outlineLevel="0" collapsed="false">
      <c r="A14" s="2"/>
      <c r="B14" s="3"/>
      <c r="C14" s="4"/>
      <c r="D14" s="2"/>
      <c r="E14" s="5" t="str">
        <f aca="false">IF(D14="","",IF(D14="normal_u",1,IF(D14="normal_U_k2",2,IF(D14="rectangular",SQRT(3),IF(D14="triangular",SQRT(6),IF(D14="arcoseno",SQRT(2),""))))))</f>
        <v/>
      </c>
      <c r="F14" s="5" t="str">
        <f aca="false">IFERROR(IF(OR(C14="",E14=""),"",C14/E14),"")</f>
        <v/>
      </c>
      <c r="G14" s="4"/>
      <c r="H14" s="4"/>
      <c r="I14" s="5" t="str">
        <f aca="false">IFERROR(IF(OR(F14="",G14=""),"",ABS(G14)*F14),"")</f>
        <v/>
      </c>
      <c r="J14" s="6" t="str">
        <f aca="false">IFERROR(IF(I14="","",100*I14^2/$B$24^2),"")</f>
        <v/>
      </c>
      <c r="K14" s="7" t="str">
        <f aca="false">IF(J14="","",RANK(J14,$J$2:$J$21,0))</f>
        <v/>
      </c>
      <c r="L14" s="0" t="n">
        <f aca="false">IFERROR(IF(H14="",0,I14^4/H14),0)</f>
        <v>0</v>
      </c>
    </row>
    <row r="15" customFormat="false" ht="15" hidden="false" customHeight="false" outlineLevel="0" collapsed="false">
      <c r="A15" s="2"/>
      <c r="B15" s="3"/>
      <c r="C15" s="4"/>
      <c r="D15" s="2"/>
      <c r="E15" s="5" t="str">
        <f aca="false">IF(D15="","",IF(D15="normal_u",1,IF(D15="normal_U_k2",2,IF(D15="rectangular",SQRT(3),IF(D15="triangular",SQRT(6),IF(D15="arcoseno",SQRT(2),""))))))</f>
        <v/>
      </c>
      <c r="F15" s="5" t="str">
        <f aca="false">IFERROR(IF(OR(C15="",E15=""),"",C15/E15),"")</f>
        <v/>
      </c>
      <c r="G15" s="4"/>
      <c r="H15" s="4"/>
      <c r="I15" s="5" t="str">
        <f aca="false">IFERROR(IF(OR(F15="",G15=""),"",ABS(G15)*F15),"")</f>
        <v/>
      </c>
      <c r="J15" s="6" t="str">
        <f aca="false">IFERROR(IF(I15="","",100*I15^2/$B$24^2),"")</f>
        <v/>
      </c>
      <c r="K15" s="7" t="str">
        <f aca="false">IF(J15="","",RANK(J15,$J$2:$J$21,0))</f>
        <v/>
      </c>
      <c r="L15" s="0" t="n">
        <f aca="false">IFERROR(IF(H15="",0,I15^4/H15),0)</f>
        <v>0</v>
      </c>
    </row>
    <row r="16" customFormat="false" ht="15" hidden="false" customHeight="false" outlineLevel="0" collapsed="false">
      <c r="A16" s="2"/>
      <c r="B16" s="3"/>
      <c r="C16" s="4"/>
      <c r="D16" s="2"/>
      <c r="E16" s="5" t="str">
        <f aca="false">IF(D16="","",IF(D16="normal_u",1,IF(D16="normal_U_k2",2,IF(D16="rectangular",SQRT(3),IF(D16="triangular",SQRT(6),IF(D16="arcoseno",SQRT(2),""))))))</f>
        <v/>
      </c>
      <c r="F16" s="5" t="str">
        <f aca="false">IFERROR(IF(OR(C16="",E16=""),"",C16/E16),"")</f>
        <v/>
      </c>
      <c r="G16" s="4"/>
      <c r="H16" s="4"/>
      <c r="I16" s="5" t="str">
        <f aca="false">IFERROR(IF(OR(F16="",G16=""),"",ABS(G16)*F16),"")</f>
        <v/>
      </c>
      <c r="J16" s="6" t="str">
        <f aca="false">IFERROR(IF(I16="","",100*I16^2/$B$24^2),"")</f>
        <v/>
      </c>
      <c r="K16" s="7" t="str">
        <f aca="false">IF(J16="","",RANK(J16,$J$2:$J$21,0))</f>
        <v/>
      </c>
      <c r="L16" s="0" t="n">
        <f aca="false">IFERROR(IF(H16="",0,I16^4/H16),0)</f>
        <v>0</v>
      </c>
    </row>
    <row r="17" customFormat="false" ht="15" hidden="false" customHeight="false" outlineLevel="0" collapsed="false">
      <c r="A17" s="2"/>
      <c r="B17" s="3"/>
      <c r="C17" s="4"/>
      <c r="D17" s="2"/>
      <c r="E17" s="5" t="str">
        <f aca="false">IF(D17="","",IF(D17="normal_u",1,IF(D17="normal_U_k2",2,IF(D17="rectangular",SQRT(3),IF(D17="triangular",SQRT(6),IF(D17="arcoseno",SQRT(2),""))))))</f>
        <v/>
      </c>
      <c r="F17" s="5" t="str">
        <f aca="false">IFERROR(IF(OR(C17="",E17=""),"",C17/E17),"")</f>
        <v/>
      </c>
      <c r="G17" s="4"/>
      <c r="H17" s="4"/>
      <c r="I17" s="5" t="str">
        <f aca="false">IFERROR(IF(OR(F17="",G17=""),"",ABS(G17)*F17),"")</f>
        <v/>
      </c>
      <c r="J17" s="6" t="str">
        <f aca="false">IFERROR(IF(I17="","",100*I17^2/$B$24^2),"")</f>
        <v/>
      </c>
      <c r="K17" s="7" t="str">
        <f aca="false">IF(J17="","",RANK(J17,$J$2:$J$21,0))</f>
        <v/>
      </c>
      <c r="L17" s="0" t="n">
        <f aca="false">IFERROR(IF(H17="",0,I17^4/H17),0)</f>
        <v>0</v>
      </c>
    </row>
    <row r="18" customFormat="false" ht="15" hidden="false" customHeight="false" outlineLevel="0" collapsed="false">
      <c r="A18" s="2"/>
      <c r="B18" s="3"/>
      <c r="C18" s="4"/>
      <c r="D18" s="2"/>
      <c r="E18" s="5" t="str">
        <f aca="false">IF(D18="","",IF(D18="normal_u",1,IF(D18="normal_U_k2",2,IF(D18="rectangular",SQRT(3),IF(D18="triangular",SQRT(6),IF(D18="arcoseno",SQRT(2),""))))))</f>
        <v/>
      </c>
      <c r="F18" s="5" t="str">
        <f aca="false">IFERROR(IF(OR(C18="",E18=""),"",C18/E18),"")</f>
        <v/>
      </c>
      <c r="G18" s="4"/>
      <c r="H18" s="4"/>
      <c r="I18" s="5" t="str">
        <f aca="false">IFERROR(IF(OR(F18="",G18=""),"",ABS(G18)*F18),"")</f>
        <v/>
      </c>
      <c r="J18" s="6" t="str">
        <f aca="false">IFERROR(IF(I18="","",100*I18^2/$B$24^2),"")</f>
        <v/>
      </c>
      <c r="K18" s="7" t="str">
        <f aca="false">IF(J18="","",RANK(J18,$J$2:$J$21,0))</f>
        <v/>
      </c>
      <c r="L18" s="0" t="n">
        <f aca="false">IFERROR(IF(H18="",0,I18^4/H18),0)</f>
        <v>0</v>
      </c>
    </row>
    <row r="19" customFormat="false" ht="15" hidden="false" customHeight="false" outlineLevel="0" collapsed="false">
      <c r="A19" s="2"/>
      <c r="B19" s="3"/>
      <c r="C19" s="4"/>
      <c r="D19" s="2"/>
      <c r="E19" s="5" t="str">
        <f aca="false">IF(D19="","",IF(D19="normal_u",1,IF(D19="normal_U_k2",2,IF(D19="rectangular",SQRT(3),IF(D19="triangular",SQRT(6),IF(D19="arcoseno",SQRT(2),""))))))</f>
        <v/>
      </c>
      <c r="F19" s="5" t="str">
        <f aca="false">IFERROR(IF(OR(C19="",E19=""),"",C19/E19),"")</f>
        <v/>
      </c>
      <c r="G19" s="4"/>
      <c r="H19" s="4"/>
      <c r="I19" s="5" t="str">
        <f aca="false">IFERROR(IF(OR(F19="",G19=""),"",ABS(G19)*F19),"")</f>
        <v/>
      </c>
      <c r="J19" s="6" t="str">
        <f aca="false">IFERROR(IF(I19="","",100*I19^2/$B$24^2),"")</f>
        <v/>
      </c>
      <c r="K19" s="7" t="str">
        <f aca="false">IF(J19="","",RANK(J19,$J$2:$J$21,0))</f>
        <v/>
      </c>
      <c r="L19" s="0" t="n">
        <f aca="false">IFERROR(IF(H19="",0,I19^4/H19),0)</f>
        <v>0</v>
      </c>
    </row>
    <row r="20" customFormat="false" ht="15" hidden="false" customHeight="false" outlineLevel="0" collapsed="false">
      <c r="A20" s="2"/>
      <c r="B20" s="3"/>
      <c r="C20" s="4"/>
      <c r="D20" s="2"/>
      <c r="E20" s="5" t="str">
        <f aca="false">IF(D20="","",IF(D20="normal_u",1,IF(D20="normal_U_k2",2,IF(D20="rectangular",SQRT(3),IF(D20="triangular",SQRT(6),IF(D20="arcoseno",SQRT(2),""))))))</f>
        <v/>
      </c>
      <c r="F20" s="5" t="str">
        <f aca="false">IFERROR(IF(OR(C20="",E20=""),"",C20/E20),"")</f>
        <v/>
      </c>
      <c r="G20" s="4"/>
      <c r="H20" s="4"/>
      <c r="I20" s="5" t="str">
        <f aca="false">IFERROR(IF(OR(F20="",G20=""),"",ABS(G20)*F20),"")</f>
        <v/>
      </c>
      <c r="J20" s="6" t="str">
        <f aca="false">IFERROR(IF(I20="","",100*I20^2/$B$24^2),"")</f>
        <v/>
      </c>
      <c r="K20" s="7" t="str">
        <f aca="false">IF(J20="","",RANK(J20,$J$2:$J$21,0))</f>
        <v/>
      </c>
      <c r="L20" s="0" t="n">
        <f aca="false">IFERROR(IF(H20="",0,I20^4/H20),0)</f>
        <v>0</v>
      </c>
    </row>
    <row r="21" customFormat="false" ht="15" hidden="false" customHeight="false" outlineLevel="0" collapsed="false">
      <c r="A21" s="2"/>
      <c r="B21" s="3"/>
      <c r="C21" s="4"/>
      <c r="D21" s="2"/>
      <c r="E21" s="5" t="str">
        <f aca="false">IF(D21="","",IF(D21="normal_u",1,IF(D21="normal_U_k2",2,IF(D21="rectangular",SQRT(3),IF(D21="triangular",SQRT(6),IF(D21="arcoseno",SQRT(2),""))))))</f>
        <v/>
      </c>
      <c r="F21" s="5" t="str">
        <f aca="false">IFERROR(IF(OR(C21="",E21=""),"",C21/E21),"")</f>
        <v/>
      </c>
      <c r="G21" s="4"/>
      <c r="H21" s="4"/>
      <c r="I21" s="5" t="str">
        <f aca="false">IFERROR(IF(OR(F21="",G21=""),"",ABS(G21)*F21),"")</f>
        <v/>
      </c>
      <c r="J21" s="6" t="str">
        <f aca="false">IFERROR(IF(I21="","",100*I21^2/$B$24^2),"")</f>
        <v/>
      </c>
      <c r="K21" s="7" t="str">
        <f aca="false">IF(J21="","",RANK(J21,$J$2:$J$21,0))</f>
        <v/>
      </c>
      <c r="L21" s="0" t="n">
        <f aca="false">IFERROR(IF(H21="",0,I21^4/H21),0)</f>
        <v>0</v>
      </c>
    </row>
    <row r="23" customFormat="false" ht="15" hidden="false" customHeight="false" outlineLevel="0" collapsed="false">
      <c r="A23" s="8" t="s">
        <v>34</v>
      </c>
      <c r="B23" s="9" t="n">
        <v>100</v>
      </c>
    </row>
    <row r="24" customFormat="false" ht="15" hidden="false" customHeight="false" outlineLevel="0" collapsed="false">
      <c r="A24" s="8" t="s">
        <v>35</v>
      </c>
      <c r="B24" s="10" t="n">
        <f aca="false">SQRT(SUMSQ(I2:I21))</f>
        <v>1.12940987540692</v>
      </c>
    </row>
    <row r="25" customFormat="false" ht="15" hidden="false" customHeight="false" outlineLevel="0" collapsed="false">
      <c r="A25" s="8" t="s">
        <v>13</v>
      </c>
      <c r="B25" s="10" t="n">
        <f aca="false">IFERROR(IF(SUM(L2:L21)=0,"",B24^4/SUM(L2:L21)),"")</f>
        <v>104.577717174885</v>
      </c>
    </row>
    <row r="26" customFormat="false" ht="15" hidden="false" customHeight="false" outlineLevel="0" collapsed="false">
      <c r="A26" s="8" t="s">
        <v>14</v>
      </c>
      <c r="B26" s="10" t="n">
        <f aca="false">IF(B25="",2,_xlfn.T.INV.2T(1-0.9545,B25))</f>
        <v>2.02432668637737</v>
      </c>
    </row>
    <row r="27" customFormat="false" ht="15" hidden="false" customHeight="false" outlineLevel="0" collapsed="false">
      <c r="A27" s="8" t="s">
        <v>36</v>
      </c>
      <c r="B27" s="10" t="n">
        <f aca="false">B26*B24</f>
        <v>2.28629455064436</v>
      </c>
    </row>
    <row r="28" customFormat="false" ht="15" hidden="false" customHeight="false" outlineLevel="0" collapsed="false">
      <c r="A28" s="8" t="s">
        <v>16</v>
      </c>
      <c r="B28" s="11" t="n">
        <f aca="false">IFERROR(100*B27/B23,"")</f>
        <v>2.28629455064436</v>
      </c>
    </row>
  </sheetData>
  <autoFilter ref="A1:K21"/>
  <conditionalFormatting sqref="J2:J21">
    <cfRule type="colorScale" priority="2">
      <colorScale>
        <cfvo type="min" val="0"/>
        <cfvo type="max" val="0"/>
        <color rgb="FFFFFFFF"/>
        <color rgb="FF63BE7B"/>
      </colorScale>
    </cfRule>
  </conditionalFormatting>
  <dataValidations count="1">
    <dataValidation allowBlank="true" error="Seleccione un PDF de la lista." errorStyle="stop" errorTitle="PDF no válido" operator="between" showDropDown="false" showErrorMessage="false" showInputMessage="false" sqref="D2:D21" type="list">
      <formula1>"normal_u,normal_U_k2,rectangular,triangular,arcoseno"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47</v>
      </c>
      <c r="B2" s="3" t="s">
        <v>48</v>
      </c>
      <c r="C2" s="4" t="n">
        <v>0.3</v>
      </c>
      <c r="D2" s="2" t="s">
        <v>19</v>
      </c>
      <c r="E2" s="5" t="n">
        <f aca="false">IF(D2="","",IF(D2="normal_u",1,IF(D2="normal_U_k2",2,IF(D2="rectangular",SQRT(3),IF(D2="triangular",SQRT(6),IF(D2="arcoseno",SQRT(2),""))))))</f>
        <v>1</v>
      </c>
      <c r="F2" s="5" t="n">
        <f aca="false">IFERROR(IF(OR(C2="",E2=""),"",C2/E2),"")</f>
        <v>0.3</v>
      </c>
      <c r="G2" s="4" t="n">
        <v>1</v>
      </c>
      <c r="H2" s="4" t="n">
        <v>19</v>
      </c>
      <c r="I2" s="5" t="n">
        <f aca="false">IFERROR(IF(OR(F2="",G2=""),"",ABS(G2)*F2),"")</f>
        <v>0.3</v>
      </c>
      <c r="J2" s="6" t="n">
        <f aca="false">IFERROR(IF(I2="","",100*I2^2/$B$24^2),"")</f>
        <v>0.486728535271594</v>
      </c>
      <c r="K2" s="7" t="n">
        <f aca="false">IF(J2="","",RANK(J2,$J$2:$J$21,0))</f>
        <v>11</v>
      </c>
      <c r="L2" s="0" t="n">
        <f aca="false">IFERROR(IF(H2="",0,I2^4/H2),0)</f>
        <v>0.000426315789473684</v>
      </c>
    </row>
    <row r="3" customFormat="false" ht="15" hidden="false" customHeight="false" outlineLevel="0" collapsed="false">
      <c r="A3" s="2" t="s">
        <v>49</v>
      </c>
      <c r="B3" s="3" t="s">
        <v>48</v>
      </c>
      <c r="C3" s="4" t="n">
        <v>0.6</v>
      </c>
      <c r="D3" s="2" t="s">
        <v>19</v>
      </c>
      <c r="E3" s="5" t="n">
        <f aca="false">IF(D3="","",IF(D3="normal_u",1,IF(D3="normal_U_k2",2,IF(D3="rectangular",SQRT(3),IF(D3="triangular",SQRT(6),IF(D3="arcoseno",SQRT(2),""))))))</f>
        <v>1</v>
      </c>
      <c r="F3" s="5" t="n">
        <f aca="false">IFERROR(IF(OR(C3="",E3=""),"",C3/E3),"")</f>
        <v>0.6</v>
      </c>
      <c r="G3" s="4" t="n">
        <v>1</v>
      </c>
      <c r="H3" s="4" t="n">
        <v>19</v>
      </c>
      <c r="I3" s="5" t="n">
        <f aca="false">IFERROR(IF(OR(F3="",G3=""),"",ABS(G3)*F3),"")</f>
        <v>0.6</v>
      </c>
      <c r="J3" s="6" t="n">
        <f aca="false">IFERROR(IF(I3="","",100*I3^2/$B$24^2),"")</f>
        <v>1.94691414108638</v>
      </c>
      <c r="K3" s="7" t="n">
        <f aca="false">IF(J3="","",RANK(J3,$J$2:$J$21,0))</f>
        <v>7</v>
      </c>
      <c r="L3" s="0" t="n">
        <f aca="false">IFERROR(IF(H3="",0,I3^4/H3),0)</f>
        <v>0.00682105263157895</v>
      </c>
    </row>
    <row r="4" customFormat="false" ht="15" hidden="false" customHeight="false" outlineLevel="0" collapsed="false">
      <c r="A4" s="2" t="s">
        <v>50</v>
      </c>
      <c r="B4" s="3" t="s">
        <v>51</v>
      </c>
      <c r="C4" s="4" t="n">
        <v>2.16</v>
      </c>
      <c r="D4" s="2" t="s">
        <v>22</v>
      </c>
      <c r="E4" s="5" t="n">
        <f aca="false">IF(D4="","",IF(D4="normal_u",1,IF(D4="normal_U_k2",2,IF(D4="rectangular",SQRT(3),IF(D4="triangular",SQRT(6),IF(D4="arcoseno",SQRT(2),""))))))</f>
        <v>1.73205080756888</v>
      </c>
      <c r="F4" s="5" t="n">
        <f aca="false">IFERROR(IF(OR(C4="",E4=""),"",C4/E4),"")</f>
        <v>1.24707658144959</v>
      </c>
      <c r="G4" s="4" t="n">
        <v>1</v>
      </c>
      <c r="H4" s="4"/>
      <c r="I4" s="5" t="n">
        <f aca="false">IFERROR(IF(OR(F4="",G4=""),"",ABS(G4)*F4),"")</f>
        <v>1.24707658144959</v>
      </c>
      <c r="J4" s="6" t="n">
        <f aca="false">IFERROR(IF(I4="","",100*I4^2/$B$24^2),"")</f>
        <v>8.41066908949316</v>
      </c>
      <c r="K4" s="7" t="n">
        <f aca="false">IF(J4="","",RANK(J4,$J$2:$J$21,0))</f>
        <v>3</v>
      </c>
      <c r="L4" s="0" t="n">
        <f aca="false">IFERROR(IF(H4="",0,I4^4/H4),0)</f>
        <v>0</v>
      </c>
    </row>
    <row r="5" customFormat="false" ht="15" hidden="false" customHeight="false" outlineLevel="0" collapsed="false">
      <c r="A5" s="2" t="s">
        <v>52</v>
      </c>
      <c r="B5" s="3" t="s">
        <v>53</v>
      </c>
      <c r="C5" s="4" t="n">
        <v>0.8</v>
      </c>
      <c r="D5" s="2" t="s">
        <v>19</v>
      </c>
      <c r="E5" s="5" t="n">
        <f aca="false">IF(D5="","",IF(D5="normal_u",1,IF(D5="normal_U_k2",2,IF(D5="rectangular",SQRT(3),IF(D5="triangular",SQRT(6),IF(D5="arcoseno",SQRT(2),""))))))</f>
        <v>1</v>
      </c>
      <c r="F5" s="5" t="n">
        <f aca="false">IFERROR(IF(OR(C5="",E5=""),"",C5/E5),"")</f>
        <v>0.8</v>
      </c>
      <c r="G5" s="4" t="n">
        <v>1</v>
      </c>
      <c r="H5" s="4"/>
      <c r="I5" s="5" t="n">
        <f aca="false">IFERROR(IF(OR(F5="",G5=""),"",ABS(G5)*F5),"")</f>
        <v>0.8</v>
      </c>
      <c r="J5" s="6" t="n">
        <f aca="false">IFERROR(IF(I5="","",100*I5^2/$B$24^2),"")</f>
        <v>3.46118069526467</v>
      </c>
      <c r="K5" s="7" t="n">
        <f aca="false">IF(J5="","",RANK(J5,$J$2:$J$21,0))</f>
        <v>5</v>
      </c>
      <c r="L5" s="0" t="n">
        <f aca="false">IFERROR(IF(H5="",0,I5^4/H5),0)</f>
        <v>0</v>
      </c>
    </row>
    <row r="6" customFormat="false" ht="15" hidden="false" customHeight="false" outlineLevel="0" collapsed="false">
      <c r="A6" s="2" t="s">
        <v>54</v>
      </c>
      <c r="B6" s="3" t="s">
        <v>53</v>
      </c>
      <c r="C6" s="4" t="n">
        <v>0.7</v>
      </c>
      <c r="D6" s="2" t="s">
        <v>19</v>
      </c>
      <c r="E6" s="5" t="n">
        <f aca="false">IF(D6="","",IF(D6="normal_u",1,IF(D6="normal_U_k2",2,IF(D6="rectangular",SQRT(3),IF(D6="triangular",SQRT(6),IF(D6="arcoseno",SQRT(2),""))))))</f>
        <v>1</v>
      </c>
      <c r="F6" s="5" t="n">
        <f aca="false">IFERROR(IF(OR(C6="",E6=""),"",C6/E6),"")</f>
        <v>0.7</v>
      </c>
      <c r="G6" s="4" t="n">
        <v>1</v>
      </c>
      <c r="H6" s="4"/>
      <c r="I6" s="5" t="n">
        <f aca="false">IFERROR(IF(OR(F6="",G6=""),"",ABS(G6)*F6),"")</f>
        <v>0.7</v>
      </c>
      <c r="J6" s="6" t="n">
        <f aca="false">IFERROR(IF(I6="","",100*I6^2/$B$24^2),"")</f>
        <v>2.64996646981201</v>
      </c>
      <c r="K6" s="7" t="n">
        <f aca="false">IF(J6="","",RANK(J6,$J$2:$J$21,0))</f>
        <v>6</v>
      </c>
      <c r="L6" s="0" t="n">
        <f aca="false">IFERROR(IF(H6="",0,I6^4/H6),0)</f>
        <v>0</v>
      </c>
    </row>
    <row r="7" customFormat="false" ht="15" hidden="false" customHeight="false" outlineLevel="0" collapsed="false">
      <c r="A7" s="2" t="s">
        <v>55</v>
      </c>
      <c r="B7" s="3" t="s">
        <v>53</v>
      </c>
      <c r="C7" s="4" t="n">
        <v>0.5</v>
      </c>
      <c r="D7" s="2" t="s">
        <v>19</v>
      </c>
      <c r="E7" s="5" t="n">
        <f aca="false">IF(D7="","",IF(D7="normal_u",1,IF(D7="normal_U_k2",2,IF(D7="rectangular",SQRT(3),IF(D7="triangular",SQRT(6),IF(D7="arcoseno",SQRT(2),""))))))</f>
        <v>1</v>
      </c>
      <c r="F7" s="5" t="n">
        <f aca="false">IFERROR(IF(OR(C7="",E7=""),"",C7/E7),"")</f>
        <v>0.5</v>
      </c>
      <c r="G7" s="4" t="n">
        <v>1</v>
      </c>
      <c r="H7" s="4"/>
      <c r="I7" s="5" t="n">
        <f aca="false">IFERROR(IF(OR(F7="",G7=""),"",ABS(G7)*F7),"")</f>
        <v>0.5</v>
      </c>
      <c r="J7" s="6" t="n">
        <f aca="false">IFERROR(IF(I7="","",100*I7^2/$B$24^2),"")</f>
        <v>1.35202370908776</v>
      </c>
      <c r="K7" s="7" t="n">
        <f aca="false">IF(J7="","",RANK(J7,$J$2:$J$21,0))</f>
        <v>9</v>
      </c>
      <c r="L7" s="0" t="n">
        <f aca="false">IFERROR(IF(H7="",0,I7^4/H7),0)</f>
        <v>0</v>
      </c>
    </row>
    <row r="8" customFormat="false" ht="15" hidden="false" customHeight="false" outlineLevel="0" collapsed="false">
      <c r="A8" s="2" t="s">
        <v>56</v>
      </c>
      <c r="B8" s="3" t="s">
        <v>53</v>
      </c>
      <c r="C8" s="4" t="n">
        <v>0.3</v>
      </c>
      <c r="D8" s="2" t="s">
        <v>19</v>
      </c>
      <c r="E8" s="5" t="n">
        <f aca="false">IF(D8="","",IF(D8="normal_u",1,IF(D8="normal_U_k2",2,IF(D8="rectangular",SQRT(3),IF(D8="triangular",SQRT(6),IF(D8="arcoseno",SQRT(2),""))))))</f>
        <v>1</v>
      </c>
      <c r="F8" s="5" t="n">
        <f aca="false">IFERROR(IF(OR(C8="",E8=""),"",C8/E8),"")</f>
        <v>0.3</v>
      </c>
      <c r="G8" s="4" t="n">
        <v>1</v>
      </c>
      <c r="H8" s="4"/>
      <c r="I8" s="5" t="n">
        <f aca="false">IFERROR(IF(OR(F8="",G8=""),"",ABS(G8)*F8),"")</f>
        <v>0.3</v>
      </c>
      <c r="J8" s="6" t="n">
        <f aca="false">IFERROR(IF(I8="","",100*I8^2/$B$24^2),"")</f>
        <v>0.486728535271594</v>
      </c>
      <c r="K8" s="7" t="n">
        <f aca="false">IF(J8="","",RANK(J8,$J$2:$J$21,0))</f>
        <v>11</v>
      </c>
      <c r="L8" s="0" t="n">
        <f aca="false">IFERROR(IF(H8="",0,I8^4/H8),0)</f>
        <v>0</v>
      </c>
    </row>
    <row r="9" customFormat="false" ht="15" hidden="false" customHeight="false" outlineLevel="0" collapsed="false">
      <c r="A9" s="2" t="s">
        <v>57</v>
      </c>
      <c r="B9" s="3" t="s">
        <v>58</v>
      </c>
      <c r="C9" s="4" t="n">
        <v>1.5</v>
      </c>
      <c r="D9" s="2" t="s">
        <v>19</v>
      </c>
      <c r="E9" s="5" t="n">
        <f aca="false">IF(D9="","",IF(D9="normal_u",1,IF(D9="normal_U_k2",2,IF(D9="rectangular",SQRT(3),IF(D9="triangular",SQRT(6),IF(D9="arcoseno",SQRT(2),""))))))</f>
        <v>1</v>
      </c>
      <c r="F9" s="5" t="n">
        <f aca="false">IFERROR(IF(OR(C9="",E9=""),"",C9/E9),"")</f>
        <v>1.5</v>
      </c>
      <c r="G9" s="4" t="n">
        <v>1</v>
      </c>
      <c r="H9" s="4"/>
      <c r="I9" s="5" t="n">
        <f aca="false">IFERROR(IF(OR(F9="",G9=""),"",ABS(G9)*F9),"")</f>
        <v>1.5</v>
      </c>
      <c r="J9" s="6" t="n">
        <f aca="false">IFERROR(IF(I9="","",100*I9^2/$B$24^2),"")</f>
        <v>12.1682133817899</v>
      </c>
      <c r="K9" s="7" t="n">
        <f aca="false">IF(J9="","",RANK(J9,$J$2:$J$21,0))</f>
        <v>2</v>
      </c>
      <c r="L9" s="0" t="n">
        <f aca="false">IFERROR(IF(H9="",0,I9^4/H9),0)</f>
        <v>0</v>
      </c>
    </row>
    <row r="10" customFormat="false" ht="15" hidden="false" customHeight="false" outlineLevel="0" collapsed="false">
      <c r="A10" s="2" t="s">
        <v>59</v>
      </c>
      <c r="B10" s="3" t="s">
        <v>60</v>
      </c>
      <c r="C10" s="4" t="n">
        <v>1</v>
      </c>
      <c r="D10" s="2" t="s">
        <v>19</v>
      </c>
      <c r="E10" s="5" t="n">
        <f aca="false">IF(D10="","",IF(D10="normal_u",1,IF(D10="normal_U_k2",2,IF(D10="rectangular",SQRT(3),IF(D10="triangular",SQRT(6),IF(D10="arcoseno",SQRT(2),""))))))</f>
        <v>1</v>
      </c>
      <c r="F10" s="5" t="n">
        <f aca="false">IFERROR(IF(OR(C10="",E10=""),"",C10/E10),"")</f>
        <v>1</v>
      </c>
      <c r="G10" s="4" t="n">
        <v>1</v>
      </c>
      <c r="H10" s="4"/>
      <c r="I10" s="5" t="n">
        <f aca="false">IFERROR(IF(OR(F10="",G10=""),"",ABS(G10)*F10),"")</f>
        <v>1</v>
      </c>
      <c r="J10" s="6" t="n">
        <f aca="false">IFERROR(IF(I10="","",100*I10^2/$B$24^2),"")</f>
        <v>5.40809483635105</v>
      </c>
      <c r="K10" s="7" t="n">
        <f aca="false">IF(J10="","",RANK(J10,$J$2:$J$21,0))</f>
        <v>4</v>
      </c>
      <c r="L10" s="0" t="n">
        <f aca="false">IFERROR(IF(H10="",0,I10^4/H10),0)</f>
        <v>0</v>
      </c>
    </row>
    <row r="11" customFormat="false" ht="15" hidden="false" customHeight="false" outlineLevel="0" collapsed="false">
      <c r="A11" s="2" t="s">
        <v>61</v>
      </c>
      <c r="B11" s="3" t="s">
        <v>62</v>
      </c>
      <c r="C11" s="4" t="n">
        <v>0.6</v>
      </c>
      <c r="D11" s="2" t="s">
        <v>19</v>
      </c>
      <c r="E11" s="5" t="n">
        <f aca="false">IF(D11="","",IF(D11="normal_u",1,IF(D11="normal_U_k2",2,IF(D11="rectangular",SQRT(3),IF(D11="triangular",SQRT(6),IF(D11="arcoseno",SQRT(2),""))))))</f>
        <v>1</v>
      </c>
      <c r="F11" s="5" t="n">
        <f aca="false">IFERROR(IF(OR(C11="",E11=""),"",C11/E11),"")</f>
        <v>0.6</v>
      </c>
      <c r="G11" s="4" t="n">
        <v>1</v>
      </c>
      <c r="H11" s="4"/>
      <c r="I11" s="5" t="n">
        <f aca="false">IFERROR(IF(OR(F11="",G11=""),"",ABS(G11)*F11),"")</f>
        <v>0.6</v>
      </c>
      <c r="J11" s="6" t="n">
        <f aca="false">IFERROR(IF(I11="","",100*I11^2/$B$24^2),"")</f>
        <v>1.94691414108638</v>
      </c>
      <c r="K11" s="7" t="n">
        <f aca="false">IF(J11="","",RANK(J11,$J$2:$J$21,0))</f>
        <v>7</v>
      </c>
      <c r="L11" s="0" t="n">
        <f aca="false">IFERROR(IF(H11="",0,I11^4/H11),0)</f>
        <v>0</v>
      </c>
    </row>
    <row r="12" customFormat="false" ht="15" hidden="false" customHeight="false" outlineLevel="0" collapsed="false">
      <c r="A12" s="2" t="s">
        <v>63</v>
      </c>
      <c r="B12" s="3" t="s">
        <v>64</v>
      </c>
      <c r="C12" s="4" t="n">
        <v>0.5</v>
      </c>
      <c r="D12" s="2" t="s">
        <v>19</v>
      </c>
      <c r="E12" s="5" t="n">
        <f aca="false">IF(D12="","",IF(D12="normal_u",1,IF(D12="normal_U_k2",2,IF(D12="rectangular",SQRT(3),IF(D12="triangular",SQRT(6),IF(D12="arcoseno",SQRT(2),""))))))</f>
        <v>1</v>
      </c>
      <c r="F12" s="5" t="n">
        <f aca="false">IFERROR(IF(OR(C12="",E12=""),"",C12/E12),"")</f>
        <v>0.5</v>
      </c>
      <c r="G12" s="4" t="n">
        <v>1</v>
      </c>
      <c r="H12" s="4"/>
      <c r="I12" s="5" t="n">
        <f aca="false">IFERROR(IF(OR(F12="",G12=""),"",ABS(G12)*F12),"")</f>
        <v>0.5</v>
      </c>
      <c r="J12" s="6" t="n">
        <f aca="false">IFERROR(IF(I12="","",100*I12^2/$B$24^2),"")</f>
        <v>1.35202370908776</v>
      </c>
      <c r="K12" s="7" t="n">
        <f aca="false">IF(J12="","",RANK(J12,$J$2:$J$21,0))</f>
        <v>9</v>
      </c>
      <c r="L12" s="0" t="n">
        <f aca="false">IFERROR(IF(H12="",0,I12^4/H12),0)</f>
        <v>0</v>
      </c>
    </row>
    <row r="13" customFormat="false" ht="15" hidden="false" customHeight="false" outlineLevel="0" collapsed="false">
      <c r="A13" s="2" t="s">
        <v>65</v>
      </c>
      <c r="B13" s="3" t="s">
        <v>66</v>
      </c>
      <c r="C13" s="4" t="n">
        <v>3.34</v>
      </c>
      <c r="D13" s="2" t="s">
        <v>19</v>
      </c>
      <c r="E13" s="5" t="n">
        <f aca="false">IF(D13="","",IF(D13="normal_u",1,IF(D13="normal_U_k2",2,IF(D13="rectangular",SQRT(3),IF(D13="triangular",SQRT(6),IF(D13="arcoseno",SQRT(2),""))))))</f>
        <v>1</v>
      </c>
      <c r="F13" s="5" t="n">
        <f aca="false">IFERROR(IF(OR(C13="",E13=""),"",C13/E13),"")</f>
        <v>3.34</v>
      </c>
      <c r="G13" s="4" t="n">
        <v>1</v>
      </c>
      <c r="H13" s="4"/>
      <c r="I13" s="5" t="n">
        <f aca="false">IFERROR(IF(OR(F13="",G13=""),"",ABS(G13)*F13),"")</f>
        <v>3.34</v>
      </c>
      <c r="J13" s="6" t="n">
        <f aca="false">IFERROR(IF(I13="","",100*I13^2/$B$24^2),"")</f>
        <v>60.3305427563978</v>
      </c>
      <c r="K13" s="7" t="n">
        <f aca="false">IF(J13="","",RANK(J13,$J$2:$J$21,0))</f>
        <v>1</v>
      </c>
      <c r="L13" s="0" t="n">
        <f aca="false">IFERROR(IF(H13="",0,I13^4/H13),0)</f>
        <v>0</v>
      </c>
    </row>
    <row r="14" customFormat="false" ht="15" hidden="false" customHeight="false" outlineLevel="0" collapsed="false">
      <c r="A14" s="2"/>
      <c r="B14" s="3"/>
      <c r="C14" s="4"/>
      <c r="D14" s="2"/>
      <c r="E14" s="5" t="str">
        <f aca="false">IF(D14="","",IF(D14="normal_u",1,IF(D14="normal_U_k2",2,IF(D14="rectangular",SQRT(3),IF(D14="triangular",SQRT(6),IF(D14="arcoseno",SQRT(2),""))))))</f>
        <v/>
      </c>
      <c r="F14" s="5" t="str">
        <f aca="false">IFERROR(IF(OR(C14="",E14=""),"",C14/E14),"")</f>
        <v/>
      </c>
      <c r="G14" s="4"/>
      <c r="H14" s="4"/>
      <c r="I14" s="5" t="str">
        <f aca="false">IFERROR(IF(OR(F14="",G14=""),"",ABS(G14)*F14),"")</f>
        <v/>
      </c>
      <c r="J14" s="6" t="str">
        <f aca="false">IFERROR(IF(I14="","",100*I14^2/$B$24^2),"")</f>
        <v/>
      </c>
      <c r="K14" s="7" t="str">
        <f aca="false">IF(J14="","",RANK(J14,$J$2:$J$21,0))</f>
        <v/>
      </c>
      <c r="L14" s="0" t="n">
        <f aca="false">IFERROR(IF(H14="",0,I14^4/H14),0)</f>
        <v>0</v>
      </c>
    </row>
    <row r="15" customFormat="false" ht="15" hidden="false" customHeight="false" outlineLevel="0" collapsed="false">
      <c r="A15" s="2"/>
      <c r="B15" s="3"/>
      <c r="C15" s="4"/>
      <c r="D15" s="2"/>
      <c r="E15" s="5" t="str">
        <f aca="false">IF(D15="","",IF(D15="normal_u",1,IF(D15="normal_U_k2",2,IF(D15="rectangular",SQRT(3),IF(D15="triangular",SQRT(6),IF(D15="arcoseno",SQRT(2),""))))))</f>
        <v/>
      </c>
      <c r="F15" s="5" t="str">
        <f aca="false">IFERROR(IF(OR(C15="",E15=""),"",C15/E15),"")</f>
        <v/>
      </c>
      <c r="G15" s="4"/>
      <c r="H15" s="4"/>
      <c r="I15" s="5" t="str">
        <f aca="false">IFERROR(IF(OR(F15="",G15=""),"",ABS(G15)*F15),"")</f>
        <v/>
      </c>
      <c r="J15" s="6" t="str">
        <f aca="false">IFERROR(IF(I15="","",100*I15^2/$B$24^2),"")</f>
        <v/>
      </c>
      <c r="K15" s="7" t="str">
        <f aca="false">IF(J15="","",RANK(J15,$J$2:$J$21,0))</f>
        <v/>
      </c>
      <c r="L15" s="0" t="n">
        <f aca="false">IFERROR(IF(H15="",0,I15^4/H15),0)</f>
        <v>0</v>
      </c>
    </row>
    <row r="16" customFormat="false" ht="15" hidden="false" customHeight="false" outlineLevel="0" collapsed="false">
      <c r="A16" s="2"/>
      <c r="B16" s="3"/>
      <c r="C16" s="4"/>
      <c r="D16" s="2"/>
      <c r="E16" s="5" t="str">
        <f aca="false">IF(D16="","",IF(D16="normal_u",1,IF(D16="normal_U_k2",2,IF(D16="rectangular",SQRT(3),IF(D16="triangular",SQRT(6),IF(D16="arcoseno",SQRT(2),""))))))</f>
        <v/>
      </c>
      <c r="F16" s="5" t="str">
        <f aca="false">IFERROR(IF(OR(C16="",E16=""),"",C16/E16),"")</f>
        <v/>
      </c>
      <c r="G16" s="4"/>
      <c r="H16" s="4"/>
      <c r="I16" s="5" t="str">
        <f aca="false">IFERROR(IF(OR(F16="",G16=""),"",ABS(G16)*F16),"")</f>
        <v/>
      </c>
      <c r="J16" s="6" t="str">
        <f aca="false">IFERROR(IF(I16="","",100*I16^2/$B$24^2),"")</f>
        <v/>
      </c>
      <c r="K16" s="7" t="str">
        <f aca="false">IF(J16="","",RANK(J16,$J$2:$J$21,0))</f>
        <v/>
      </c>
      <c r="L16" s="0" t="n">
        <f aca="false">IFERROR(IF(H16="",0,I16^4/H16),0)</f>
        <v>0</v>
      </c>
    </row>
    <row r="17" customFormat="false" ht="15" hidden="false" customHeight="false" outlineLevel="0" collapsed="false">
      <c r="A17" s="2"/>
      <c r="B17" s="3"/>
      <c r="C17" s="4"/>
      <c r="D17" s="2"/>
      <c r="E17" s="5" t="str">
        <f aca="false">IF(D17="","",IF(D17="normal_u",1,IF(D17="normal_U_k2",2,IF(D17="rectangular",SQRT(3),IF(D17="triangular",SQRT(6),IF(D17="arcoseno",SQRT(2),""))))))</f>
        <v/>
      </c>
      <c r="F17" s="5" t="str">
        <f aca="false">IFERROR(IF(OR(C17="",E17=""),"",C17/E17),"")</f>
        <v/>
      </c>
      <c r="G17" s="4"/>
      <c r="H17" s="4"/>
      <c r="I17" s="5" t="str">
        <f aca="false">IFERROR(IF(OR(F17="",G17=""),"",ABS(G17)*F17),"")</f>
        <v/>
      </c>
      <c r="J17" s="6" t="str">
        <f aca="false">IFERROR(IF(I17="","",100*I17^2/$B$24^2),"")</f>
        <v/>
      </c>
      <c r="K17" s="7" t="str">
        <f aca="false">IF(J17="","",RANK(J17,$J$2:$J$21,0))</f>
        <v/>
      </c>
      <c r="L17" s="0" t="n">
        <f aca="false">IFERROR(IF(H17="",0,I17^4/H17),0)</f>
        <v>0</v>
      </c>
    </row>
    <row r="18" customFormat="false" ht="15" hidden="false" customHeight="false" outlineLevel="0" collapsed="false">
      <c r="A18" s="2"/>
      <c r="B18" s="3"/>
      <c r="C18" s="4"/>
      <c r="D18" s="2"/>
      <c r="E18" s="5" t="str">
        <f aca="false">IF(D18="","",IF(D18="normal_u",1,IF(D18="normal_U_k2",2,IF(D18="rectangular",SQRT(3),IF(D18="triangular",SQRT(6),IF(D18="arcoseno",SQRT(2),""))))))</f>
        <v/>
      </c>
      <c r="F18" s="5" t="str">
        <f aca="false">IFERROR(IF(OR(C18="",E18=""),"",C18/E18),"")</f>
        <v/>
      </c>
      <c r="G18" s="4"/>
      <c r="H18" s="4"/>
      <c r="I18" s="5" t="str">
        <f aca="false">IFERROR(IF(OR(F18="",G18=""),"",ABS(G18)*F18),"")</f>
        <v/>
      </c>
      <c r="J18" s="6" t="str">
        <f aca="false">IFERROR(IF(I18="","",100*I18^2/$B$24^2),"")</f>
        <v/>
      </c>
      <c r="K18" s="7" t="str">
        <f aca="false">IF(J18="","",RANK(J18,$J$2:$J$21,0))</f>
        <v/>
      </c>
      <c r="L18" s="0" t="n">
        <f aca="false">IFERROR(IF(H18="",0,I18^4/H18),0)</f>
        <v>0</v>
      </c>
    </row>
    <row r="19" customFormat="false" ht="15" hidden="false" customHeight="false" outlineLevel="0" collapsed="false">
      <c r="A19" s="2"/>
      <c r="B19" s="3"/>
      <c r="C19" s="4"/>
      <c r="D19" s="2"/>
      <c r="E19" s="5" t="str">
        <f aca="false">IF(D19="","",IF(D19="normal_u",1,IF(D19="normal_U_k2",2,IF(D19="rectangular",SQRT(3),IF(D19="triangular",SQRT(6),IF(D19="arcoseno",SQRT(2),""))))))</f>
        <v/>
      </c>
      <c r="F19" s="5" t="str">
        <f aca="false">IFERROR(IF(OR(C19="",E19=""),"",C19/E19),"")</f>
        <v/>
      </c>
      <c r="G19" s="4"/>
      <c r="H19" s="4"/>
      <c r="I19" s="5" t="str">
        <f aca="false">IFERROR(IF(OR(F19="",G19=""),"",ABS(G19)*F19),"")</f>
        <v/>
      </c>
      <c r="J19" s="6" t="str">
        <f aca="false">IFERROR(IF(I19="","",100*I19^2/$B$24^2),"")</f>
        <v/>
      </c>
      <c r="K19" s="7" t="str">
        <f aca="false">IF(J19="","",RANK(J19,$J$2:$J$21,0))</f>
        <v/>
      </c>
      <c r="L19" s="0" t="n">
        <f aca="false">IFERROR(IF(H19="",0,I19^4/H19),0)</f>
        <v>0</v>
      </c>
    </row>
    <row r="20" customFormat="false" ht="15" hidden="false" customHeight="false" outlineLevel="0" collapsed="false">
      <c r="A20" s="2"/>
      <c r="B20" s="3"/>
      <c r="C20" s="4"/>
      <c r="D20" s="2"/>
      <c r="E20" s="5" t="str">
        <f aca="false">IF(D20="","",IF(D20="normal_u",1,IF(D20="normal_U_k2",2,IF(D20="rectangular",SQRT(3),IF(D20="triangular",SQRT(6),IF(D20="arcoseno",SQRT(2),""))))))</f>
        <v/>
      </c>
      <c r="F20" s="5" t="str">
        <f aca="false">IFERROR(IF(OR(C20="",E20=""),"",C20/E20),"")</f>
        <v/>
      </c>
      <c r="G20" s="4"/>
      <c r="H20" s="4"/>
      <c r="I20" s="5" t="str">
        <f aca="false">IFERROR(IF(OR(F20="",G20=""),"",ABS(G20)*F20),"")</f>
        <v/>
      </c>
      <c r="J20" s="6" t="str">
        <f aca="false">IFERROR(IF(I20="","",100*I20^2/$B$24^2),"")</f>
        <v/>
      </c>
      <c r="K20" s="7" t="str">
        <f aca="false">IF(J20="","",RANK(J20,$J$2:$J$21,0))</f>
        <v/>
      </c>
      <c r="L20" s="0" t="n">
        <f aca="false">IFERROR(IF(H20="",0,I20^4/H20),0)</f>
        <v>0</v>
      </c>
    </row>
    <row r="21" customFormat="false" ht="15" hidden="false" customHeight="false" outlineLevel="0" collapsed="false">
      <c r="A21" s="2"/>
      <c r="B21" s="3"/>
      <c r="C21" s="4"/>
      <c r="D21" s="2"/>
      <c r="E21" s="5" t="str">
        <f aca="false">IF(D21="","",IF(D21="normal_u",1,IF(D21="normal_U_k2",2,IF(D21="rectangular",SQRT(3),IF(D21="triangular",SQRT(6),IF(D21="arcoseno",SQRT(2),""))))))</f>
        <v/>
      </c>
      <c r="F21" s="5" t="str">
        <f aca="false">IFERROR(IF(OR(C21="",E21=""),"",C21/E21),"")</f>
        <v/>
      </c>
      <c r="G21" s="4"/>
      <c r="H21" s="4"/>
      <c r="I21" s="5" t="str">
        <f aca="false">IFERROR(IF(OR(F21="",G21=""),"",ABS(G21)*F21),"")</f>
        <v/>
      </c>
      <c r="J21" s="6" t="str">
        <f aca="false">IFERROR(IF(I21="","",100*I21^2/$B$24^2),"")</f>
        <v/>
      </c>
      <c r="K21" s="7" t="str">
        <f aca="false">IF(J21="","",RANK(J21,$J$2:$J$21,0))</f>
        <v/>
      </c>
      <c r="L21" s="0" t="n">
        <f aca="false">IFERROR(IF(H21="",0,I21^4/H21),0)</f>
        <v>0</v>
      </c>
    </row>
    <row r="23" customFormat="false" ht="15" hidden="false" customHeight="false" outlineLevel="0" collapsed="false">
      <c r="A23" s="8" t="s">
        <v>11</v>
      </c>
      <c r="B23" s="9" t="n">
        <v>120</v>
      </c>
    </row>
    <row r="24" customFormat="false" ht="15" hidden="false" customHeight="false" outlineLevel="0" collapsed="false">
      <c r="A24" s="8" t="s">
        <v>12</v>
      </c>
      <c r="B24" s="10" t="n">
        <f aca="false">SQRT(SUMSQ(I2:I21))</f>
        <v>4.30009302224964</v>
      </c>
    </row>
    <row r="25" customFormat="false" ht="15" hidden="false" customHeight="false" outlineLevel="0" collapsed="false">
      <c r="A25" s="8" t="s">
        <v>13</v>
      </c>
      <c r="B25" s="10" t="n">
        <f aca="false">IFERROR(IF(SUM(L2:L21)=0,"",B24^4/SUM(L2:L21)),"")</f>
        <v>47177.0806692811</v>
      </c>
    </row>
    <row r="26" customFormat="false" ht="15" hidden="false" customHeight="false" outlineLevel="0" collapsed="false">
      <c r="A26" s="8" t="s">
        <v>14</v>
      </c>
      <c r="B26" s="10" t="n">
        <f aca="false">IF(B25="",2,_xlfn.T.INV.2T(1-0.9545,B25))</f>
        <v>2.00005543736753</v>
      </c>
    </row>
    <row r="27" customFormat="false" ht="15" hidden="false" customHeight="false" outlineLevel="0" collapsed="false">
      <c r="A27" s="8" t="s">
        <v>15</v>
      </c>
      <c r="B27" s="10" t="n">
        <f aca="false">B26*B24</f>
        <v>8.60042443033658</v>
      </c>
    </row>
    <row r="28" customFormat="false" ht="15" hidden="false" customHeight="false" outlineLevel="0" collapsed="false">
      <c r="A28" s="8" t="s">
        <v>16</v>
      </c>
      <c r="B28" s="11" t="n">
        <f aca="false">IFERROR(100*B27/B23,"")</f>
        <v>7.16702035861381</v>
      </c>
    </row>
  </sheetData>
  <autoFilter ref="A1:K21"/>
  <conditionalFormatting sqref="J2:J21">
    <cfRule type="colorScale" priority="2">
      <colorScale>
        <cfvo type="min" val="0"/>
        <cfvo type="max" val="0"/>
        <color rgb="FFFFFFFF"/>
        <color rgb="FF63BE7B"/>
      </colorScale>
    </cfRule>
  </conditionalFormatting>
  <dataValidations count="1">
    <dataValidation allowBlank="true" error="Seleccione un PDF de la lista." errorStyle="stop" errorTitle="PDF no válido" operator="between" showDropDown="false" showErrorMessage="false" showInputMessage="false" sqref="D2:D21" type="list">
      <formula1>"normal_u,normal_U_k2,rectangular,triangular,arcoseno"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5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2" t="s">
        <v>67</v>
      </c>
      <c r="B1" s="12"/>
      <c r="C1" s="12"/>
      <c r="D1" s="12"/>
    </row>
    <row r="3" customFormat="false" ht="15" hidden="false" customHeight="false" outlineLevel="0" collapsed="false">
      <c r="A3" s="13" t="s">
        <v>3</v>
      </c>
      <c r="B3" s="13" t="s">
        <v>4</v>
      </c>
      <c r="C3" s="13" t="s">
        <v>68</v>
      </c>
      <c r="D3" s="13" t="s">
        <v>69</v>
      </c>
    </row>
    <row r="4" customFormat="false" ht="15" hidden="false" customHeight="false" outlineLevel="0" collapsed="false">
      <c r="A4" s="0" t="s">
        <v>19</v>
      </c>
      <c r="B4" s="0" t="n">
        <v>1</v>
      </c>
      <c r="C4" s="0" t="s">
        <v>70</v>
      </c>
      <c r="D4" s="0" t="s">
        <v>71</v>
      </c>
    </row>
    <row r="5" customFormat="false" ht="15" hidden="false" customHeight="false" outlineLevel="0" collapsed="false">
      <c r="A5" s="0" t="s">
        <v>33</v>
      </c>
      <c r="B5" s="0" t="n">
        <v>2</v>
      </c>
      <c r="C5" s="0" t="s">
        <v>72</v>
      </c>
      <c r="D5" s="0" t="s">
        <v>73</v>
      </c>
    </row>
    <row r="6" customFormat="false" ht="15" hidden="false" customHeight="false" outlineLevel="0" collapsed="false">
      <c r="A6" s="0" t="s">
        <v>22</v>
      </c>
      <c r="B6" s="0" t="n">
        <v>1.73205080756888</v>
      </c>
      <c r="C6" s="0" t="s">
        <v>74</v>
      </c>
      <c r="D6" s="0" t="s">
        <v>75</v>
      </c>
    </row>
    <row r="7" customFormat="false" ht="15" hidden="false" customHeight="false" outlineLevel="0" collapsed="false">
      <c r="A7" s="0" t="s">
        <v>76</v>
      </c>
      <c r="B7" s="0" t="n">
        <v>2.44948974278318</v>
      </c>
      <c r="C7" s="0" t="s">
        <v>77</v>
      </c>
      <c r="D7" s="0" t="s">
        <v>78</v>
      </c>
    </row>
    <row r="8" customFormat="false" ht="15" hidden="false" customHeight="false" outlineLevel="0" collapsed="false">
      <c r="A8" s="0" t="s">
        <v>79</v>
      </c>
      <c r="B8" s="0" t="n">
        <v>1.4142135623731</v>
      </c>
      <c r="C8" s="0" t="s">
        <v>80</v>
      </c>
      <c r="D8" s="0" t="s">
        <v>81</v>
      </c>
    </row>
    <row r="10" customFormat="false" ht="15" hidden="false" customHeight="true" outlineLevel="0" collapsed="false">
      <c r="A10" s="14" t="s">
        <v>82</v>
      </c>
      <c r="B10" s="14"/>
      <c r="C10" s="14"/>
      <c r="D10" s="14"/>
    </row>
    <row r="11" customFormat="false" ht="15" hidden="false" customHeight="true" outlineLevel="0" collapsed="false">
      <c r="A11" s="15" t="s">
        <v>83</v>
      </c>
      <c r="B11" s="15"/>
      <c r="C11" s="15"/>
      <c r="D11" s="15"/>
    </row>
    <row r="12" customFormat="false" ht="15" hidden="false" customHeight="true" outlineLevel="0" collapsed="false">
      <c r="A12" s="15" t="s">
        <v>84</v>
      </c>
      <c r="B12" s="15"/>
      <c r="C12" s="15"/>
      <c r="D12" s="15"/>
    </row>
    <row r="13" customFormat="false" ht="15" hidden="false" customHeight="true" outlineLevel="0" collapsed="false">
      <c r="A13" s="15" t="s">
        <v>85</v>
      </c>
      <c r="B13" s="15"/>
      <c r="C13" s="15"/>
      <c r="D13" s="15"/>
    </row>
    <row r="14" customFormat="false" ht="15" hidden="false" customHeight="true" outlineLevel="0" collapsed="false">
      <c r="A14" s="15" t="s">
        <v>86</v>
      </c>
      <c r="B14" s="15"/>
      <c r="C14" s="15"/>
      <c r="D14" s="15"/>
    </row>
    <row r="15" customFormat="false" ht="15" hidden="false" customHeight="true" outlineLevel="0" collapsed="false">
      <c r="A15" s="15" t="s">
        <v>87</v>
      </c>
      <c r="B15" s="15"/>
      <c r="C15" s="15"/>
      <c r="D15" s="15"/>
    </row>
    <row r="16" customFormat="false" ht="15" hidden="false" customHeight="true" outlineLevel="0" collapsed="false">
      <c r="A16" s="15" t="s">
        <v>88</v>
      </c>
      <c r="B16" s="15"/>
      <c r="C16" s="15"/>
      <c r="D16" s="15"/>
    </row>
    <row r="17" customFormat="false" ht="15" hidden="false" customHeight="true" outlineLevel="0" collapsed="false">
      <c r="A17" s="15" t="s">
        <v>89</v>
      </c>
      <c r="B17" s="15"/>
      <c r="C17" s="15"/>
      <c r="D17" s="15"/>
    </row>
    <row r="18" customFormat="false" ht="15" hidden="false" customHeight="true" outlineLevel="0" collapsed="false">
      <c r="A18" s="15" t="s">
        <v>90</v>
      </c>
      <c r="B18" s="15"/>
      <c r="C18" s="15"/>
      <c r="D18" s="15"/>
    </row>
  </sheetData>
  <mergeCells count="10">
    <mergeCell ref="A1:D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2026-08-18T00:03:27Z</dcterms:created>
  <dc:creator>openpyxl</dc:creator>
  <dc:description/>
  <dc:language>en-US</dc:language>
  <cp:lastModifiedBy/>
  <dcterms:modified xsi:type="dcterms:W3CDTF">2026-08-18T00:03:27Z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